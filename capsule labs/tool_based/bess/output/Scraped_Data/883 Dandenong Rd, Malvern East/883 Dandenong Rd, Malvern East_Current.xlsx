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ject profile" sheetId="2" state="visible" r:id="rId2"/>
    <sheet xmlns:r="http://schemas.openxmlformats.org/officeDocument/2006/relationships" name="Management" sheetId="3" state="visible" r:id="rId3"/>
    <sheet xmlns:r="http://schemas.openxmlformats.org/officeDocument/2006/relationships" name="Integrated Water Management" sheetId="4" state="visible" r:id="rId4"/>
    <sheet xmlns:r="http://schemas.openxmlformats.org/officeDocument/2006/relationships" name="Operational Energy" sheetId="5" state="visible" r:id="rId5"/>
    <sheet xmlns:r="http://schemas.openxmlformats.org/officeDocument/2006/relationships" name="Indoor Environment Quality" sheetId="6" state="visible" r:id="rId6"/>
    <sheet xmlns:r="http://schemas.openxmlformats.org/officeDocument/2006/relationships" name="Transport" sheetId="7" state="visible" r:id="rId7"/>
    <sheet xmlns:r="http://schemas.openxmlformats.org/officeDocument/2006/relationships" name="Waste &amp; Resource Recovery" sheetId="8" state="visible" r:id="rId8"/>
    <sheet xmlns:r="http://schemas.openxmlformats.org/officeDocument/2006/relationships" name="Urban Ecology" sheetId="9" state="visible" r:id="rId9"/>
    <sheet xmlns:r="http://schemas.openxmlformats.org/officeDocument/2006/relationships" name="Innovation" sheetId="10" state="visible" r:id="rId10"/>
    <sheet xmlns:r="http://schemas.openxmlformats.org/officeDocument/2006/relationships" name="Supporting Evidence"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9"/>
    </font>
    <font>
      <sz val="9"/>
    </font>
    <font>
      <b val="1"/>
      <sz val="14"/>
    </font>
    <font>
      <color rgb="000000FF"/>
      <sz val="9"/>
      <u val="single"/>
    </font>
  </fonts>
  <fills count="3">
    <fill>
      <patternFill/>
    </fill>
    <fill>
      <patternFill patternType="gray125"/>
    </fill>
    <fill>
      <patternFill patternType="solid">
        <fgColor rgb="00FDE9D9"/>
        <bgColor rgb="00FDE9D9"/>
      </patternFill>
    </fill>
  </fills>
  <borders count="11">
    <border>
      <left/>
      <right/>
      <top/>
      <bottom/>
      <diagonal/>
    </border>
    <border>
      <left style="thick"/>
      <right style="thick"/>
      <top style="thick"/>
      <bottom style="thick"/>
    </border>
    <border>
      <left style="thin"/>
      <right style="thin"/>
      <top style="thin"/>
      <bottom style="thin"/>
    </border>
    <border>
      <left style="thick"/>
      <right style="thin"/>
      <top style="thick"/>
      <bottom style="thick"/>
    </border>
    <border>
      <left style="thin"/>
      <right style="thin"/>
      <top style="thick"/>
      <bottom style="thick"/>
    </border>
    <border>
      <left style="thick"/>
      <right style="thin"/>
      <top style="thin"/>
      <bottom style="thin"/>
    </border>
    <border>
      <left style="thick"/>
      <right style="thin"/>
      <top style="thin"/>
      <bottom style="thick"/>
    </border>
    <border>
      <left style="thin"/>
      <right style="thin"/>
      <top style="thin"/>
      <bottom style="thick"/>
    </border>
    <border>
      <left style="thin"/>
      <right style="thick"/>
      <top style="thick"/>
      <bottom style="thick"/>
    </border>
    <border>
      <left style="thin"/>
      <right style="thick"/>
      <top style="thin"/>
      <bottom style="thin"/>
    </border>
    <border>
      <left style="thin"/>
      <right style="thick"/>
      <top style="thin"/>
      <bottom style="thick"/>
    </border>
  </borders>
  <cellStyleXfs count="1">
    <xf numFmtId="0" fontId="0" fillId="0" borderId="0"/>
  </cellStyleXfs>
  <cellXfs count="20">
    <xf numFmtId="0" fontId="0" fillId="0" borderId="0" pivotButton="0" quotePrefix="0" xfId="0"/>
    <xf numFmtId="0" fontId="3" fillId="0" borderId="0" applyAlignment="1" pivotButton="0" quotePrefix="0" xfId="0">
      <alignment horizontal="left" vertical="center"/>
    </xf>
    <xf numFmtId="0" fontId="1" fillId="2" borderId="3" applyAlignment="1" pivotButton="0" quotePrefix="0" xfId="0">
      <alignment horizontal="left" vertical="top"/>
    </xf>
    <xf numFmtId="0" fontId="1" fillId="2" borderId="4" applyAlignment="1" pivotButton="0" quotePrefix="0" xfId="0">
      <alignment horizontal="left" vertical="top"/>
    </xf>
    <xf numFmtId="0" fontId="1" fillId="2" borderId="8" applyAlignment="1" pivotButton="0" quotePrefix="0" xfId="0">
      <alignment horizontal="left" vertical="top"/>
    </xf>
    <xf numFmtId="49" fontId="2" fillId="0" borderId="5" applyAlignment="1" pivotButton="0" quotePrefix="0" xfId="0">
      <alignment horizontal="left" vertical="top"/>
    </xf>
    <xf numFmtId="49" fontId="2" fillId="0" borderId="2" applyAlignment="1" pivotButton="0" quotePrefix="0" xfId="0">
      <alignment horizontal="left" vertical="top"/>
    </xf>
    <xf numFmtId="49" fontId="4" fillId="0" borderId="2" applyAlignment="1" pivotButton="0" quotePrefix="0" xfId="0">
      <alignment horizontal="left" vertical="top"/>
    </xf>
    <xf numFmtId="49" fontId="2" fillId="0" borderId="9" applyAlignment="1" pivotButton="0" quotePrefix="0" xfId="0">
      <alignment horizontal="left" vertical="top"/>
    </xf>
    <xf numFmtId="49" fontId="2" fillId="0" borderId="6" applyAlignment="1" pivotButton="0" quotePrefix="0" xfId="0">
      <alignment horizontal="left" vertical="top"/>
    </xf>
    <xf numFmtId="49" fontId="2" fillId="0" borderId="7" applyAlignment="1" pivotButton="0" quotePrefix="0" xfId="0">
      <alignment horizontal="left" vertical="top"/>
    </xf>
    <xf numFmtId="49" fontId="4" fillId="0" borderId="7" applyAlignment="1" pivotButton="0" quotePrefix="0" xfId="0">
      <alignment horizontal="left" vertical="top"/>
    </xf>
    <xf numFmtId="49" fontId="2" fillId="0" borderId="10" applyAlignment="1" pivotButton="0" quotePrefix="0" xfId="0">
      <alignment horizontal="left" vertical="top"/>
    </xf>
    <xf numFmtId="0" fontId="1" fillId="2" borderId="3" applyAlignment="1" pivotButton="0" quotePrefix="0" xfId="0">
      <alignment horizontal="left" vertical="center" wrapText="1"/>
    </xf>
    <xf numFmtId="0" fontId="1" fillId="2" borderId="4" applyAlignment="1" pivotButton="0" quotePrefix="0" xfId="0">
      <alignment horizontal="left" vertical="center" wrapText="1"/>
    </xf>
    <xf numFmtId="49" fontId="2" fillId="0" borderId="5"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6" applyAlignment="1" pivotButton="0" quotePrefix="0" xfId="0">
      <alignment horizontal="left" vertical="center" wrapText="1"/>
    </xf>
    <xf numFmtId="49" fontId="2" fillId="0" borderId="7"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12"/>
  <sheetViews>
    <sheetView workbookViewId="0">
      <selection activeCell="A1" sqref="A1"/>
    </sheetView>
  </sheetViews>
  <sheetFormatPr baseColWidth="8" defaultRowHeight="15"/>
  <cols>
    <col width="2" customWidth="1" min="1" max="1"/>
    <col width="39" customWidth="1" min="2" max="2"/>
    <col width="8" customWidth="1" min="3" max="3"/>
    <col width="45" customWidth="1" min="4" max="4"/>
    <col width="60" customWidth="1" min="5" max="5"/>
  </cols>
  <sheetData>
    <row r="1" ht="15" customHeight="1">
      <c r="B1" s="1" t="inlineStr">
        <is>
          <t>Project: 883 Dandenong Rd, Malvern East | Version:   Current</t>
        </is>
      </c>
    </row>
    <row r="2">
      <c r="B2" s="2" t="inlineStr">
        <is>
          <t>Category</t>
        </is>
      </c>
      <c r="C2" s="3" t="inlineStr">
        <is>
          <t>Score</t>
        </is>
      </c>
      <c r="D2" s="3" t="inlineStr">
        <is>
          <t>Link to Category</t>
        </is>
      </c>
      <c r="E2" s="4" t="inlineStr">
        <is>
          <t>Category Page URL</t>
        </is>
      </c>
    </row>
    <row r="3">
      <c r="B3" s="5" t="inlineStr">
        <is>
          <t>Project profile</t>
        </is>
      </c>
      <c r="C3" s="6" t="inlineStr">
        <is>
          <t>56%</t>
        </is>
      </c>
      <c r="D3" s="7">
        <f>HYPERLINK("#'Project profile'!B2", "Project profile")</f>
        <v/>
      </c>
      <c r="E3" s="8" t="inlineStr">
        <is>
          <t>https://bess.net.au/buildings/project/0467380C</t>
        </is>
      </c>
    </row>
    <row r="4">
      <c r="B4" s="5" t="inlineStr">
        <is>
          <t>Management</t>
        </is>
      </c>
      <c r="C4" s="6" t="inlineStr">
        <is>
          <t>57%</t>
        </is>
      </c>
      <c r="D4" s="7">
        <f>HYPERLINK("#'Management'!B2", "Management")</f>
        <v/>
      </c>
      <c r="E4" s="8" t="inlineStr">
        <is>
          <t>https://bess.net.au/buildings/project/0467380C/mgmt</t>
        </is>
      </c>
    </row>
    <row r="5">
      <c r="B5" s="5" t="inlineStr">
        <is>
          <t>Integrated Water Management</t>
        </is>
      </c>
      <c r="C5" s="6" t="inlineStr">
        <is>
          <t>83%</t>
        </is>
      </c>
      <c r="D5" s="7">
        <f>HYPERLINK("#'Integrated Water Management'!B2", "Integrated Water Management")</f>
        <v/>
      </c>
      <c r="E5" s="8" t="inlineStr">
        <is>
          <t>https://bess.net.au/buildings/project/0467380C/iwm</t>
        </is>
      </c>
    </row>
    <row r="6">
      <c r="B6" s="5" t="inlineStr">
        <is>
          <t>Operational Energy</t>
        </is>
      </c>
      <c r="C6" s="6" t="inlineStr">
        <is>
          <t>62%</t>
        </is>
      </c>
      <c r="D6" s="7">
        <f>HYPERLINK("#'Operational Energy'!B2", "Operational Energy")</f>
        <v/>
      </c>
      <c r="E6" s="8" t="inlineStr">
        <is>
          <t>https://bess.net.au/buildings/project/0467380C/energy</t>
        </is>
      </c>
    </row>
    <row r="7">
      <c r="B7" s="5" t="inlineStr">
        <is>
          <t>Indoor Environment Quality</t>
        </is>
      </c>
      <c r="C7" s="6" t="inlineStr">
        <is>
          <t>52%</t>
        </is>
      </c>
      <c r="D7" s="7">
        <f>HYPERLINK("#'Indoor Environment Quality'!B2", "Indoor Environment Quality")</f>
        <v/>
      </c>
      <c r="E7" s="8" t="inlineStr">
        <is>
          <t>https://bess.net.au/buildings/project/0467380C/ieq</t>
        </is>
      </c>
    </row>
    <row r="8">
      <c r="B8" s="5" t="inlineStr">
        <is>
          <t>Transport</t>
        </is>
      </c>
      <c r="C8" s="6" t="inlineStr">
        <is>
          <t>37%</t>
        </is>
      </c>
      <c r="D8" s="7">
        <f>HYPERLINK("#'Transport'!B2", "Transport")</f>
        <v/>
      </c>
      <c r="E8" s="8" t="inlineStr">
        <is>
          <t>https://bess.net.au/buildings/project/0467380C/transport</t>
        </is>
      </c>
    </row>
    <row r="9">
      <c r="B9" s="5" t="inlineStr">
        <is>
          <t>Waste &amp; Resource Recovery</t>
        </is>
      </c>
      <c r="C9" s="6" t="inlineStr">
        <is>
          <t>66%</t>
        </is>
      </c>
      <c r="D9" s="7">
        <f>HYPERLINK("#'Waste &amp; Resource Recovery'!B2", "Waste &amp; Resource Recovery")</f>
        <v/>
      </c>
      <c r="E9" s="8" t="inlineStr">
        <is>
          <t>https://bess.net.au/buildings/project/0467380C/waste</t>
        </is>
      </c>
    </row>
    <row r="10">
      <c r="B10" s="5" t="inlineStr">
        <is>
          <t>Urban Ecology</t>
        </is>
      </c>
      <c r="C10" s="6" t="inlineStr">
        <is>
          <t>37%</t>
        </is>
      </c>
      <c r="D10" s="7">
        <f>HYPERLINK("#'Urban Ecology'!B2", "Urban Ecology")</f>
        <v/>
      </c>
      <c r="E10" s="8" t="inlineStr">
        <is>
          <t>https://bess.net.au/buildings/project/0467380C/ue</t>
        </is>
      </c>
    </row>
    <row r="11">
      <c r="B11" s="5" t="inlineStr">
        <is>
          <t>Innovation</t>
        </is>
      </c>
      <c r="C11" s="6" t="inlineStr">
        <is>
          <t>-</t>
        </is>
      </c>
      <c r="D11" s="7">
        <f>HYPERLINK("#'Innovation'!B2", "Innovation")</f>
        <v/>
      </c>
      <c r="E11" s="8" t="inlineStr">
        <is>
          <t>https://bess.net.au/buildings/project/0467380C/innovation</t>
        </is>
      </c>
    </row>
    <row r="12">
      <c r="B12" s="9" t="inlineStr">
        <is>
          <t>Supporting Evidence</t>
        </is>
      </c>
      <c r="C12" s="10" t="inlineStr">
        <is>
          <t>0/18</t>
        </is>
      </c>
      <c r="D12" s="11">
        <f>HYPERLINK("#'Supporting Evidence'!B2", "Supporting Evidence")</f>
        <v/>
      </c>
      <c r="E12" s="12" t="inlineStr">
        <is>
          <t>https://bess.net.au/buildings/project/0467380C/supporting-evidence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33"/>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Project Details (Grouped Table)</t>
        </is>
      </c>
      <c r="C3"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3" s="16" t="inlineStr">
        <is>
          <t>Project Name</t>
        </is>
      </c>
      <c r="E3" s="16" t="inlineStr">
        <is>
          <t>883 Dandenong Rd, Malvern East</t>
        </is>
      </c>
    </row>
    <row r="4">
      <c r="B4" s="15" t="inlineStr">
        <is>
          <t>Project Details (Grouped Table)</t>
        </is>
      </c>
      <c r="C4"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4" s="16" t="inlineStr">
        <is>
          <t>Version Name</t>
        </is>
      </c>
      <c r="E4" s="16" t="inlineStr"/>
    </row>
    <row r="5">
      <c r="B5" s="15" t="inlineStr">
        <is>
          <t>Project Details (Grouped Table)</t>
        </is>
      </c>
      <c r="C5"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5" s="16" t="inlineStr">
        <is>
          <t>Site Type</t>
        </is>
      </c>
      <c r="E5" s="16" t="inlineStr">
        <is>
          <t>Non-residential development</t>
        </is>
      </c>
    </row>
    <row r="6">
      <c r="B6" s="15" t="inlineStr">
        <is>
          <t>Project Details (Grouped Table)</t>
        </is>
      </c>
      <c r="C6"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6" s="16" t="inlineStr">
        <is>
          <t>Is this a Future Homes design?</t>
        </is>
      </c>
      <c r="E6" s="16" t="inlineStr"/>
    </row>
    <row r="7">
      <c r="B7" s="15" t="inlineStr">
        <is>
          <t>Project Details (Grouped Table)</t>
        </is>
      </c>
      <c r="C7"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7" s="16" t="inlineStr">
        <is>
          <t>Site Area</t>
        </is>
      </c>
      <c r="E7" s="16" t="inlineStr">
        <is>
          <t>641,unit:Square Metres</t>
        </is>
      </c>
    </row>
    <row r="8">
      <c r="B8" s="15" t="inlineStr">
        <is>
          <t>Project Details (Grouped Table)</t>
        </is>
      </c>
      <c r="C8"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8" s="16" t="inlineStr">
        <is>
          <t>Dwelling Area</t>
        </is>
      </c>
      <c r="E8" s="16" t="inlineStr">
        <is>
          <t>2289,unit:Square Metres</t>
        </is>
      </c>
    </row>
    <row r="9">
      <c r="B9" s="15" t="inlineStr">
        <is>
          <t>Project Details (Grouped Table)</t>
        </is>
      </c>
      <c r="C9"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9" s="16" t="inlineStr">
        <is>
          <t>Year Last Approval</t>
        </is>
      </c>
      <c r="E9" s="16" t="inlineStr">
        <is>
          <t>2016</t>
        </is>
      </c>
    </row>
    <row r="10">
      <c r="B10" s="15" t="inlineStr">
        <is>
          <t>Project Details (Grouped Table)</t>
        </is>
      </c>
      <c r="C10"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0" s="16" t="inlineStr">
        <is>
          <t>Existing Floor Area</t>
        </is>
      </c>
      <c r="E10" s="16" t="inlineStr">
        <is>
          <t>Square Metres</t>
        </is>
      </c>
    </row>
    <row r="11">
      <c r="B11" s="15" t="inlineStr">
        <is>
          <t>Project Details (Grouped Table)</t>
        </is>
      </c>
      <c r="C11"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1" s="16" t="inlineStr">
        <is>
          <t>Proposed Floor Area</t>
        </is>
      </c>
      <c r="E11" s="16" t="inlineStr">
        <is>
          <t>Square Metres</t>
        </is>
      </c>
    </row>
    <row r="12">
      <c r="B12" s="15" t="inlineStr">
        <is>
          <t>Project Details (Grouped Table)</t>
        </is>
      </c>
      <c r="C12"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2" s="16" t="inlineStr">
        <is>
          <t>Floor Area to be demolished</t>
        </is>
      </c>
      <c r="E12" s="16" t="inlineStr">
        <is>
          <t>Square Metres</t>
        </is>
      </c>
    </row>
    <row r="13">
      <c r="B13" s="15" t="inlineStr">
        <is>
          <t>Project Details (Grouped Table)</t>
        </is>
      </c>
      <c r="C13"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3" s="16" t="inlineStr">
        <is>
          <t>Planning Number</t>
        </is>
      </c>
      <c r="E13" s="16" t="inlineStr"/>
    </row>
    <row r="14">
      <c r="B14" s="15" t="inlineStr">
        <is>
          <t>Project Details (Grouped Table)</t>
        </is>
      </c>
      <c r="C14"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4" s="16" t="inlineStr">
        <is>
          <t>Map</t>
        </is>
      </c>
      <c r="E14" s="16" t="inlineStr"/>
    </row>
    <row r="15">
      <c r="B15" s="15" t="inlineStr">
        <is>
          <t>Project Details (Grouped Table)</t>
        </is>
      </c>
      <c r="C15"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5" s="16" t="inlineStr">
        <is>
          <t>Council</t>
        </is>
      </c>
      <c r="E15" s="16" t="inlineStr">
        <is>
          <t>Stonnington City Council</t>
        </is>
      </c>
    </row>
    <row r="16">
      <c r="B16" s="15" t="inlineStr">
        <is>
          <t>Project Details (Grouped Table)</t>
        </is>
      </c>
      <c r="C16"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6" s="16" t="inlineStr">
        <is>
          <t>Street Address</t>
        </is>
      </c>
      <c r="E16" s="16" t="inlineStr">
        <is>
          <t>883 Dandenong Rd</t>
        </is>
      </c>
    </row>
    <row r="17">
      <c r="B17" s="15" t="inlineStr">
        <is>
          <t>Project Details (Grouped Table)</t>
        </is>
      </c>
      <c r="C17"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7" s="16" t="inlineStr">
        <is>
          <t>Suburb</t>
        </is>
      </c>
      <c r="E17" s="16" t="inlineStr">
        <is>
          <t>Malvern East</t>
        </is>
      </c>
    </row>
    <row r="18">
      <c r="B18" s="15" t="inlineStr">
        <is>
          <t>Project Details (Grouped Table)</t>
        </is>
      </c>
      <c r="C18"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8" s="16" t="inlineStr">
        <is>
          <t>State</t>
        </is>
      </c>
      <c r="E18" s="16" t="inlineStr">
        <is>
          <t>Victoria</t>
        </is>
      </c>
    </row>
    <row r="19">
      <c r="B19" s="15" t="inlineStr">
        <is>
          <t>Project Details (Grouped Table)</t>
        </is>
      </c>
      <c r="C19" s="16" t="inlineStr">
        <is>
          <t>Key geographic and site type details entered when the project was created. You may edit these here. Note that:Changing the Site Type will change the questions and credits across the tool.The address (including the council) cannot be changed after a project has been published, or where there are multiple versions.</t>
        </is>
      </c>
      <c r="D19" s="16" t="inlineStr">
        <is>
          <t>Postcode</t>
        </is>
      </c>
      <c r="E19" s="16" t="inlineStr">
        <is>
          <t>3145</t>
        </is>
      </c>
    </row>
    <row r="20">
      <c r="B20" s="15" t="inlineStr">
        <is>
          <t>Buildings (883 Dandenong Rd, Malvern East)</t>
        </is>
      </c>
      <c r="C20" s="16" t="inlineStr">
        <is>
          <t>Enter details for each building in the development.You must account for all buildings.A minimum ofonebuilding must be entered before any dwellings and spaces can be profiled.</t>
        </is>
      </c>
      <c r="D20" s="16" t="inlineStr">
        <is>
          <t>Building height (number of levels excluding basements)</t>
        </is>
      </c>
      <c r="E20" s="16" t="inlineStr">
        <is>
          <t>10</t>
        </is>
      </c>
    </row>
    <row r="21">
      <c r="B21" s="15" t="inlineStr">
        <is>
          <t>Buildings (883 Dandenong Rd, Malvern East)</t>
        </is>
      </c>
      <c r="C21" s="16" t="inlineStr">
        <is>
          <t>Enter details for each building in the development.You must account for all buildings.A minimum ofonebuilding must be entered before any dwellings and spaces can be profiled.</t>
        </is>
      </c>
      <c r="D21" s="16" t="inlineStr">
        <is>
          <t>Building footprint</t>
        </is>
      </c>
      <c r="E21" s="16" t="inlineStr">
        <is>
          <t>4,993,unit:Square Metres</t>
        </is>
      </c>
    </row>
    <row r="22">
      <c r="B22" s="15" t="inlineStr">
        <is>
          <t>Non-Residential Spaces (Student Accomodation (L1-L2))</t>
        </is>
      </c>
      <c r="C22" s="16" t="inlineStr">
        <is>
          <t>Enter details for each non-residential space in the development. You must account for all spaces, but spaces may be grouped where they share similar thermal properties.</t>
        </is>
      </c>
      <c r="D22" s="16" t="inlineStr">
        <is>
          <t>Type</t>
        </is>
      </c>
      <c r="E22" s="16" t="inlineStr">
        <is>
          <t>Other building</t>
        </is>
      </c>
    </row>
    <row r="23">
      <c r="B23" s="15" t="inlineStr">
        <is>
          <t>Non-Residential Spaces (Student Accomodation (L1-L2))</t>
        </is>
      </c>
      <c r="C23" s="16" t="inlineStr">
        <is>
          <t>Enter details for each non-residential space in the development. You must account for all spaces, but spaces may be grouped where they share similar thermal properties.</t>
        </is>
      </c>
      <c r="D23" s="16" t="inlineStr">
        <is>
          <t>Area</t>
        </is>
      </c>
      <c r="E23" s="16" t="inlineStr">
        <is>
          <t>567,unit:Square Metres</t>
        </is>
      </c>
    </row>
    <row r="24">
      <c r="B24" s="15" t="inlineStr">
        <is>
          <t>Non-Residential Spaces (Student Accomodation (L1-L2))</t>
        </is>
      </c>
      <c r="C24" s="16" t="inlineStr">
        <is>
          <t>Enter details for each non-residential space in the development. You must account for all spaces, but spaces may be grouped where they share similar thermal properties.</t>
        </is>
      </c>
      <c r="D24" s="16" t="inlineStr">
        <is>
          <t>Quantity</t>
        </is>
      </c>
      <c r="E24" s="16" t="inlineStr">
        <is>
          <t>1</t>
        </is>
      </c>
    </row>
    <row r="25">
      <c r="B25" s="15" t="inlineStr">
        <is>
          <t>Non-Residential Spaces (Student Accomodation (L1-L2))</t>
        </is>
      </c>
      <c r="C25" s="16" t="inlineStr">
        <is>
          <t>Enter details for each non-residential space in the development. You must account for all spaces, but spaces may be grouped where they share similar thermal properties.</t>
        </is>
      </c>
      <c r="D25" s="16" t="inlineStr">
        <is>
          <t>Building</t>
        </is>
      </c>
      <c r="E25" s="16" t="inlineStr">
        <is>
          <t>883 Dandenong Rd, Malvern East</t>
        </is>
      </c>
    </row>
    <row r="26">
      <c r="B26" s="15" t="inlineStr">
        <is>
          <t>Non-Residential Spaces (Student Accomodation (L3-L9))</t>
        </is>
      </c>
      <c r="C26" s="16" t="inlineStr">
        <is>
          <t>Enter details for each non-residential space in the development. You must account for all spaces, but spaces may be grouped where they share similar thermal properties.</t>
        </is>
      </c>
      <c r="D26" s="16" t="inlineStr">
        <is>
          <t>Type</t>
        </is>
      </c>
      <c r="E26" s="16" t="inlineStr">
        <is>
          <t>Other building</t>
        </is>
      </c>
    </row>
    <row r="27">
      <c r="B27" s="15" t="inlineStr">
        <is>
          <t>Non-Residential Spaces (Student Accomodation (L3-L9))</t>
        </is>
      </c>
      <c r="C27" s="16" t="inlineStr">
        <is>
          <t>Enter details for each non-residential space in the development. You must account for all spaces, but spaces may be grouped where they share similar thermal properties.</t>
        </is>
      </c>
      <c r="D27" s="16" t="inlineStr">
        <is>
          <t>Area</t>
        </is>
      </c>
      <c r="E27" s="16" t="inlineStr">
        <is>
          <t>1,639,unit:Square Metres</t>
        </is>
      </c>
    </row>
    <row r="28">
      <c r="B28" s="15" t="inlineStr">
        <is>
          <t>Non-Residential Spaces (Student Accomodation (L3-L9))</t>
        </is>
      </c>
      <c r="C28" s="16" t="inlineStr">
        <is>
          <t>Enter details for each non-residential space in the development. You must account for all spaces, but spaces may be grouped where they share similar thermal properties.</t>
        </is>
      </c>
      <c r="D28" s="16" t="inlineStr">
        <is>
          <t>Quantity</t>
        </is>
      </c>
      <c r="E28" s="16" t="inlineStr">
        <is>
          <t>1</t>
        </is>
      </c>
    </row>
    <row r="29">
      <c r="B29" s="15" t="inlineStr">
        <is>
          <t>Non-Residential Spaces (Student Accomodation (L3-L9))</t>
        </is>
      </c>
      <c r="C29" s="16" t="inlineStr">
        <is>
          <t>Enter details for each non-residential space in the development. You must account for all spaces, but spaces may be grouped where they share similar thermal properties.</t>
        </is>
      </c>
      <c r="D29" s="16" t="inlineStr">
        <is>
          <t>Building</t>
        </is>
      </c>
      <c r="E29" s="16" t="inlineStr">
        <is>
          <t>883 Dandenong Rd, Malvern East</t>
        </is>
      </c>
    </row>
    <row r="30">
      <c r="B30" s="15" t="inlineStr">
        <is>
          <t>Non-Residential Spaces (GF Retail)</t>
        </is>
      </c>
      <c r="C30" s="16" t="inlineStr">
        <is>
          <t>Enter details for each non-residential space in the development. You must account for all spaces, but spaces may be grouped where they share similar thermal properties.</t>
        </is>
      </c>
      <c r="D30" s="16" t="inlineStr">
        <is>
          <t>Type</t>
        </is>
      </c>
      <c r="E30" s="16" t="inlineStr">
        <is>
          <t>Other building</t>
        </is>
      </c>
    </row>
    <row r="31">
      <c r="B31" s="15" t="inlineStr">
        <is>
          <t>Non-Residential Spaces (GF Retail)</t>
        </is>
      </c>
      <c r="C31" s="16" t="inlineStr">
        <is>
          <t>Enter details for each non-residential space in the development. You must account for all spaces, but spaces may be grouped where they share similar thermal properties.</t>
        </is>
      </c>
      <c r="D31" s="16" t="inlineStr">
        <is>
          <t>Area</t>
        </is>
      </c>
      <c r="E31" s="16" t="inlineStr">
        <is>
          <t>83.9,unit:Square Metres</t>
        </is>
      </c>
    </row>
    <row r="32">
      <c r="B32" s="15" t="inlineStr">
        <is>
          <t>Non-Residential Spaces (GF Retail)</t>
        </is>
      </c>
      <c r="C32" s="16" t="inlineStr">
        <is>
          <t>Enter details for each non-residential space in the development. You must account for all spaces, but spaces may be grouped where they share similar thermal properties.</t>
        </is>
      </c>
      <c r="D32" s="16" t="inlineStr">
        <is>
          <t>Quantity</t>
        </is>
      </c>
      <c r="E32" s="16" t="inlineStr">
        <is>
          <t>1</t>
        </is>
      </c>
    </row>
    <row r="33">
      <c r="B33" s="17" t="inlineStr">
        <is>
          <t>Non-Residential Spaces (GF Retail)</t>
        </is>
      </c>
      <c r="C33" s="18" t="inlineStr">
        <is>
          <t>Enter details for each non-residential space in the development. You must account for all spaces, but spaces may be grouped where they share similar thermal properties.</t>
        </is>
      </c>
      <c r="D33" s="18" t="inlineStr">
        <is>
          <t>Building</t>
        </is>
      </c>
      <c r="E33" s="18" t="inlineStr">
        <is>
          <t>883 Dandenong Rd, Malvern East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3"/>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Pre-Application Meeting</t>
        </is>
      </c>
      <c r="C3" s="16" t="inlineStr">
        <is>
          <t>Has an ESD professional been engaged to provide sustainability advice from schematic design to construction? AND Has the ESD professional been involved in a pre-application meeting with Council?</t>
        </is>
      </c>
      <c r="D3" s="16" t="inlineStr">
        <is>
          <t>Criteria Achieved ?</t>
        </is>
      </c>
      <c r="E3" s="16" t="inlineStr">
        <is>
          <t>No</t>
        </is>
      </c>
    </row>
    <row r="4">
      <c r="B4" s="15" t="inlineStr">
        <is>
          <t>3.2 Metering - Non-Residential</t>
        </is>
      </c>
      <c r="C4" s="16" t="inlineStr">
        <is>
          <t>Have utility meters been provided for all individual  commercial tenants?</t>
        </is>
      </c>
      <c r="D4" s="16" t="inlineStr">
        <is>
          <t>Criteria Achieved ?</t>
        </is>
      </c>
      <c r="E4" s="16" t="inlineStr">
        <is>
          <t>Yes</t>
        </is>
      </c>
    </row>
    <row r="5">
      <c r="B5" s="15" t="inlineStr">
        <is>
          <t>3.3 Metering - Common Areas</t>
        </is>
      </c>
      <c r="C5" s="16" t="inlineStr">
        <is>
          <t>Have all major common area services been separately submetered?</t>
        </is>
      </c>
      <c r="D5" s="16" t="inlineStr">
        <is>
          <t>Criteria Achieved ?</t>
        </is>
      </c>
      <c r="E5" s="16" t="inlineStr">
        <is>
          <t>Yes</t>
        </is>
      </c>
    </row>
    <row r="6">
      <c r="B6" s="15" t="inlineStr">
        <is>
          <t>4.1 Building Users Guide</t>
        </is>
      </c>
      <c r="C6" s="16" t="inlineStr">
        <is>
          <t>Will a building users guide be produced and issued to occupants?</t>
        </is>
      </c>
      <c r="D6" s="16" t="inlineStr">
        <is>
          <t>Criteria Achieved ?</t>
        </is>
      </c>
      <c r="E6" s="16" t="inlineStr">
        <is>
          <t>Yes</t>
        </is>
      </c>
    </row>
    <row r="7">
      <c r="B7" s="15" t="inlineStr">
        <is>
          <t>2.3 Thermal Performance Modelling - Non-Residential</t>
        </is>
      </c>
      <c r="C7" s="16" t="inlineStr">
        <is>
          <t>Has a preliminary facade assessment been undertaken in accordance with NCC2022 Section J4D6?</t>
        </is>
      </c>
      <c r="D7" s="16" t="inlineStr">
        <is>
          <t>Criteria Achieved ?</t>
        </is>
      </c>
      <c r="E7" s="16" t="inlineStr">
        <is>
          <t>No</t>
        </is>
      </c>
    </row>
    <row r="8">
      <c r="B8" s="15" t="inlineStr">
        <is>
          <t>2.3 Thermal Performance Modelling - Non-Residential</t>
        </is>
      </c>
      <c r="C8" s="16" t="inlineStr">
        <is>
          <t>Has preliminary modelling been undertaken in accordance with either NCC2022 Section J (Energy Efficiency), NABERS or Green Star?</t>
        </is>
      </c>
      <c r="D8" s="16" t="inlineStr">
        <is>
          <t>Criteria Achieved ?</t>
        </is>
      </c>
      <c r="E8" s="16" t="inlineStr">
        <is>
          <t>Yes</t>
        </is>
      </c>
    </row>
    <row r="9">
      <c r="B9" s="15" t="inlineStr">
        <is>
          <t>1.1 Pre-Application Meeting</t>
        </is>
      </c>
      <c r="C9" s="16" t="inlineStr">
        <is>
          <t>Has an ESD professional been engaged to provide sustainability advice from schematic design to construction? AND Has the ESD professional been involved in a pre-application meeting with Council?</t>
        </is>
      </c>
      <c r="D9" s="16" t="inlineStr">
        <is>
          <t>Score</t>
        </is>
      </c>
      <c r="E9" s="16" t="inlineStr">
        <is>
          <t>0%</t>
        </is>
      </c>
    </row>
    <row r="10">
      <c r="B10" s="15" t="inlineStr">
        <is>
          <t>1.1 Pre-Application Meeting</t>
        </is>
      </c>
      <c r="C10" s="16" t="inlineStr">
        <is>
          <t>Has an ESD professional been engaged to provide sustainability advice from schematic design to construction? AND Has the ESD professional been involved in a pre-application meeting with Council?</t>
        </is>
      </c>
      <c r="D10" s="16" t="inlineStr">
        <is>
          <t>Weighting</t>
        </is>
      </c>
      <c r="E10" s="16" t="inlineStr">
        <is>
          <t>42.9% weight</t>
        </is>
      </c>
    </row>
    <row r="11">
      <c r="B11" s="15" t="inlineStr">
        <is>
          <t>1.1 Pre-Application Meeting</t>
        </is>
      </c>
      <c r="C11" s="16" t="inlineStr">
        <is>
          <t>Has an ESD professional been engaged to provide sustainability advice from schematic design to construction? AND Has the ESD professional been involved in a pre-application meeting with Council?</t>
        </is>
      </c>
      <c r="D11" s="16" t="inlineStr">
        <is>
          <t>Disabled Reason</t>
        </is>
      </c>
      <c r="E11" s="16" t="inlineStr">
        <is>
          <t>None</t>
        </is>
      </c>
    </row>
    <row r="12">
      <c r="B12" s="15" t="inlineStr">
        <is>
          <t>1.1 Pre-Application Meeting</t>
        </is>
      </c>
      <c r="C12" s="16" t="inlineStr">
        <is>
          <t>Has an ESD professional been engaged to provide sustainability advice from schematic design to construction? AND Has the ESD professional been involved in a pre-application meeting with Council?</t>
        </is>
      </c>
      <c r="D12" s="16" t="inlineStr">
        <is>
          <t>Scoped Out Reason</t>
        </is>
      </c>
      <c r="E12" s="16" t="inlineStr">
        <is>
          <t>No reason provided. This credit is not scoped out until a reason is provided.</t>
        </is>
      </c>
    </row>
    <row r="13">
      <c r="B13" s="15" t="inlineStr">
        <is>
          <t>1.1 Pre-Application Meeting</t>
        </is>
      </c>
      <c r="C13" s="16" t="inlineStr">
        <is>
          <t>Has an ESD professional been engaged to provide sustainability advice from schematic design to construction? AND Has the ESD professional been involved in a pre-application meeting with Council?</t>
        </is>
      </c>
      <c r="D13" s="16" t="inlineStr">
        <is>
          <t>Supporting Evidence</t>
        </is>
      </c>
      <c r="E13" s="16" t="inlineStr">
        <is>
          <t>Required</t>
        </is>
      </c>
    </row>
    <row r="14">
      <c r="B14" s="15" t="inlineStr">
        <is>
          <t>2.3 Thermal Performance Modelling - Non-Residential</t>
        </is>
      </c>
      <c r="C14" s="16" t="inlineStr"/>
      <c r="D14" s="16" t="inlineStr">
        <is>
          <t>Score</t>
        </is>
      </c>
      <c r="E14" s="16" t="inlineStr">
        <is>
          <t>100%</t>
        </is>
      </c>
    </row>
    <row r="15">
      <c r="B15" s="15" t="inlineStr">
        <is>
          <t>2.3 Thermal Performance Modelling - Non-Residential</t>
        </is>
      </c>
      <c r="C15" s="16" t="inlineStr"/>
      <c r="D15" s="16" t="inlineStr">
        <is>
          <t>Weighting</t>
        </is>
      </c>
      <c r="E15" s="16" t="inlineStr">
        <is>
          <t>28.6% weight</t>
        </is>
      </c>
    </row>
    <row r="16">
      <c r="B16" s="15" t="inlineStr">
        <is>
          <t>2.3 Thermal Performance Modelling - Non-Residential</t>
        </is>
      </c>
      <c r="C16" s="16" t="inlineStr"/>
      <c r="D16" s="16" t="inlineStr">
        <is>
          <t>Disabled Reason</t>
        </is>
      </c>
      <c r="E16" s="16" t="inlineStr">
        <is>
          <t>None</t>
        </is>
      </c>
    </row>
    <row r="17">
      <c r="B17" s="15" t="inlineStr">
        <is>
          <t>2.3 Thermal Performance Modelling - Non-Residential</t>
        </is>
      </c>
      <c r="C17" s="16" t="inlineStr"/>
      <c r="D17" s="16" t="inlineStr">
        <is>
          <t>Scoped Out Reason</t>
        </is>
      </c>
      <c r="E17" s="16" t="inlineStr">
        <is>
          <t>No reason provided. This credit is not scoped out until a reason is provided.</t>
        </is>
      </c>
    </row>
    <row r="18">
      <c r="B18" s="15" t="inlineStr">
        <is>
          <t>2.3 Thermal Performance Modelling - Non-Residential</t>
        </is>
      </c>
      <c r="C18" s="16" t="inlineStr"/>
      <c r="D18" s="16" t="inlineStr">
        <is>
          <t>Supporting Evidence</t>
        </is>
      </c>
      <c r="E18" s="16" t="inlineStr">
        <is>
          <t>Required</t>
        </is>
      </c>
    </row>
    <row r="19">
      <c r="B19" s="15" t="inlineStr">
        <is>
          <t>3.2 Metering - Non-Residential</t>
        </is>
      </c>
      <c r="C19" s="16" t="inlineStr">
        <is>
          <t>Have utility meters been provided for all individual  commercial tenants?</t>
        </is>
      </c>
      <c r="D19" s="16" t="inlineStr">
        <is>
          <t>Score</t>
        </is>
      </c>
      <c r="E19" s="16" t="inlineStr">
        <is>
          <t>100%</t>
        </is>
      </c>
    </row>
    <row r="20">
      <c r="B20" s="15" t="inlineStr">
        <is>
          <t>3.2 Metering - Non-Residential</t>
        </is>
      </c>
      <c r="C20" s="16" t="inlineStr">
        <is>
          <t>Have utility meters been provided for all individual  commercial tenants?</t>
        </is>
      </c>
      <c r="D20" s="16" t="inlineStr">
        <is>
          <t>Weighting</t>
        </is>
      </c>
      <c r="E20" s="16" t="inlineStr">
        <is>
          <t>14.3% weight</t>
        </is>
      </c>
    </row>
    <row r="21">
      <c r="B21" s="15" t="inlineStr">
        <is>
          <t>3.2 Metering - Non-Residential</t>
        </is>
      </c>
      <c r="C21" s="16" t="inlineStr">
        <is>
          <t>Have utility meters been provided for all individual  commercial tenants?</t>
        </is>
      </c>
      <c r="D21" s="16" t="inlineStr">
        <is>
          <t>Disabled Reason</t>
        </is>
      </c>
      <c r="E21" s="16" t="inlineStr">
        <is>
          <t>None</t>
        </is>
      </c>
    </row>
    <row r="22">
      <c r="B22" s="15" t="inlineStr">
        <is>
          <t>3.2 Metering - Non-Residential</t>
        </is>
      </c>
      <c r="C22" s="16" t="inlineStr">
        <is>
          <t>Have utility meters been provided for all individual  commercial tenants?</t>
        </is>
      </c>
      <c r="D22" s="16" t="inlineStr">
        <is>
          <t>Scoped Out Reason</t>
        </is>
      </c>
      <c r="E22" s="16" t="inlineStr">
        <is>
          <t>No reason provided. This credit is not scoped out until a reason is provided.</t>
        </is>
      </c>
    </row>
    <row r="23">
      <c r="B23" s="15" t="inlineStr">
        <is>
          <t>3.2 Metering - Non-Residential</t>
        </is>
      </c>
      <c r="C23" s="16" t="inlineStr">
        <is>
          <t>Have utility meters been provided for all individual  commercial tenants?</t>
        </is>
      </c>
      <c r="D23" s="16" t="inlineStr">
        <is>
          <t>Supporting Evidence</t>
        </is>
      </c>
      <c r="E23" s="16" t="inlineStr">
        <is>
          <t>Required</t>
        </is>
      </c>
    </row>
    <row r="24">
      <c r="B24" s="15" t="inlineStr">
        <is>
          <t>3.3 Metering - Common Areas</t>
        </is>
      </c>
      <c r="C24" s="16" t="inlineStr">
        <is>
          <t>Have all major common area services been separately submetered?</t>
        </is>
      </c>
      <c r="D24" s="16" t="inlineStr">
        <is>
          <t>Score</t>
        </is>
      </c>
      <c r="E24" s="16" t="inlineStr">
        <is>
          <t>100%</t>
        </is>
      </c>
    </row>
    <row r="25">
      <c r="B25" s="15" t="inlineStr">
        <is>
          <t>3.3 Metering - Common Areas</t>
        </is>
      </c>
      <c r="C25" s="16" t="inlineStr">
        <is>
          <t>Have all major common area services been separately submetered?</t>
        </is>
      </c>
      <c r="D25" s="16" t="inlineStr">
        <is>
          <t>Weighting</t>
        </is>
      </c>
      <c r="E25" s="16" t="inlineStr">
        <is>
          <t>Scoped Out</t>
        </is>
      </c>
    </row>
    <row r="26">
      <c r="B26" s="15" t="inlineStr">
        <is>
          <t>3.3 Metering - Common Areas</t>
        </is>
      </c>
      <c r="C26" s="16" t="inlineStr">
        <is>
          <t>Have all major common area services been separately submetered?</t>
        </is>
      </c>
      <c r="D26" s="16" t="inlineStr">
        <is>
          <t>Disabled Reason</t>
        </is>
      </c>
      <c r="E26" s="16" t="inlineStr">
        <is>
          <t>None</t>
        </is>
      </c>
    </row>
    <row r="27">
      <c r="B27" s="15" t="inlineStr">
        <is>
          <t>3.3 Metering - Common Areas</t>
        </is>
      </c>
      <c r="C27" s="16" t="inlineStr">
        <is>
          <t>Have all major common area services been separately submetered?</t>
        </is>
      </c>
      <c r="D27" s="16" t="inlineStr">
        <is>
          <t>Scoped Out Reason</t>
        </is>
      </c>
      <c r="E27" s="16" t="inlineStr">
        <is>
          <t>No common areas</t>
        </is>
      </c>
    </row>
    <row r="28">
      <c r="B28" s="15" t="inlineStr">
        <is>
          <t>3.3 Metering - Common Areas</t>
        </is>
      </c>
      <c r="C28" s="16" t="inlineStr">
        <is>
          <t>Have all major common area services been separately submetered?</t>
        </is>
      </c>
      <c r="D28" s="16" t="inlineStr">
        <is>
          <t>Supporting Evidence</t>
        </is>
      </c>
      <c r="E28" s="16" t="inlineStr">
        <is>
          <t>Required</t>
        </is>
      </c>
    </row>
    <row r="29">
      <c r="B29" s="15" t="inlineStr">
        <is>
          <t>4.1 Building Users Guide</t>
        </is>
      </c>
      <c r="C29" s="16" t="inlineStr">
        <is>
          <t>Will a building users guide be produced and issued to occupants?</t>
        </is>
      </c>
      <c r="D29" s="16" t="inlineStr">
        <is>
          <t>Score</t>
        </is>
      </c>
      <c r="E29" s="16" t="inlineStr">
        <is>
          <t>100%</t>
        </is>
      </c>
    </row>
    <row r="30">
      <c r="B30" s="15" t="inlineStr">
        <is>
          <t>4.1 Building Users Guide</t>
        </is>
      </c>
      <c r="C30" s="16" t="inlineStr">
        <is>
          <t>Will a building users guide be produced and issued to occupants?</t>
        </is>
      </c>
      <c r="D30" s="16" t="inlineStr">
        <is>
          <t>Weighting</t>
        </is>
      </c>
      <c r="E30" s="16" t="inlineStr">
        <is>
          <t>14.3% weight</t>
        </is>
      </c>
    </row>
    <row r="31">
      <c r="B31" s="15" t="inlineStr">
        <is>
          <t>4.1 Building Users Guide</t>
        </is>
      </c>
      <c r="C31" s="16" t="inlineStr">
        <is>
          <t>Will a building users guide be produced and issued to occupants?</t>
        </is>
      </c>
      <c r="D31" s="16" t="inlineStr">
        <is>
          <t>Disabled Reason</t>
        </is>
      </c>
      <c r="E31" s="16" t="inlineStr">
        <is>
          <t>None</t>
        </is>
      </c>
    </row>
    <row r="32">
      <c r="B32" s="15" t="inlineStr">
        <is>
          <t>4.1 Building Users Guide</t>
        </is>
      </c>
      <c r="C32" s="16" t="inlineStr">
        <is>
          <t>Will a building users guide be produced and issued to occupants?</t>
        </is>
      </c>
      <c r="D32" s="16" t="inlineStr">
        <is>
          <t>Scoped Out Reason</t>
        </is>
      </c>
      <c r="E32" s="16" t="inlineStr">
        <is>
          <t>No reason provided. This credit is not scoped out until a reason is provided.</t>
        </is>
      </c>
    </row>
    <row r="33">
      <c r="B33" s="17" t="inlineStr">
        <is>
          <t>4.1 Building Users Guide</t>
        </is>
      </c>
      <c r="C33" s="18" t="inlineStr">
        <is>
          <t>Will a building users guide be produced and issued to occupants?</t>
        </is>
      </c>
      <c r="D33" s="18" t="inlineStr">
        <is>
          <t>Supporting Evidence</t>
        </is>
      </c>
      <c r="E33" s="18" t="inlineStr">
        <is>
          <t>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90"/>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Potable Water Use</t>
        </is>
      </c>
      <c r="C3" s="16" t="inlineStr">
        <is>
          <t>What is the reduction in total potable water use due to efficient fixtures, appliances, rainwater use and recycled water use? To achieve points in this credit there must be &gt;25% potable water reduction.</t>
        </is>
      </c>
      <c r="D3" s="16" t="inlineStr">
        <is>
          <t>Reference</t>
        </is>
      </c>
      <c r="E3" s="16" t="inlineStr">
        <is>
          <t>5445 kL</t>
        </is>
      </c>
    </row>
    <row r="4">
      <c r="B4" s="15" t="inlineStr">
        <is>
          <t>1.1 Potable Water Use</t>
        </is>
      </c>
      <c r="C4" s="16" t="inlineStr">
        <is>
          <t>What is the reduction in total potable water use due to efficient fixtures, appliances, rainwater use and recycled water use? To achieve points in this credit there must be &gt;25% potable water reduction.</t>
        </is>
      </c>
      <c r="D4" s="16" t="inlineStr">
        <is>
          <t>Proposed (excluding rainwater and recycled water use)</t>
        </is>
      </c>
      <c r="E4" s="16" t="inlineStr">
        <is>
          <t>3917 kL</t>
        </is>
      </c>
    </row>
    <row r="5">
      <c r="B5" s="15" t="inlineStr">
        <is>
          <t>1.1 Potable Water Use</t>
        </is>
      </c>
      <c r="C5" s="16" t="inlineStr">
        <is>
          <t>What is the reduction in total potable water use due to efficient fixtures, appliances, rainwater use and recycled water use? To achieve points in this credit there must be &gt;25% potable water reduction.</t>
        </is>
      </c>
      <c r="D5" s="16" t="inlineStr">
        <is>
          <t>Proposed (including rainwater and recycled water use)</t>
        </is>
      </c>
      <c r="E5" s="16" t="inlineStr">
        <is>
          <t>3746 kL</t>
        </is>
      </c>
    </row>
    <row r="6">
      <c r="B6" s="15" t="inlineStr">
        <is>
          <t>1.1 Potable Water Use</t>
        </is>
      </c>
      <c r="C6" s="16" t="inlineStr">
        <is>
          <t>What is the reduction in total potable water use due to efficient fixtures, appliances, rainwater use and recycled water use? To achieve points in this credit there must be &gt;25% potable water reduction.</t>
        </is>
      </c>
      <c r="D6" s="16" t="inlineStr">
        <is>
          <t>% Reduction in Potable Water Consumption</t>
        </is>
      </c>
      <c r="E6" s="16" t="inlineStr">
        <is>
          <t>31%</t>
        </is>
      </c>
    </row>
    <row r="7">
      <c r="B7" s="15" t="inlineStr">
        <is>
          <t>1.1 Potable Water Use</t>
        </is>
      </c>
      <c r="C7" s="16" t="inlineStr">
        <is>
          <t>What is the reduction in total potable water use due to efficient fixtures, appliances, rainwater use and recycled water use? To achieve points in this credit there must be &gt;25% potable water reduction.</t>
        </is>
      </c>
      <c r="D7" s="16" t="inlineStr">
        <is>
          <t>% of connected demand met by rainwater</t>
        </is>
      </c>
      <c r="E7" s="16" t="inlineStr">
        <is>
          <t>100%</t>
        </is>
      </c>
    </row>
    <row r="8">
      <c r="B8" s="15" t="inlineStr">
        <is>
          <t>1.1 Potable Water Use</t>
        </is>
      </c>
      <c r="C8" s="16" t="inlineStr">
        <is>
          <t>What is the reduction in total potable water use due to efficient fixtures, appliances, rainwater use and recycled water use? To achieve points in this credit there must be &gt;25% potable water reduction.</t>
        </is>
      </c>
      <c r="D8" s="16" t="inlineStr">
        <is>
          <t>How often does the tank overflow?</t>
        </is>
      </c>
      <c r="E8" s="16" t="inlineStr">
        <is>
          <t>Very Often</t>
        </is>
      </c>
    </row>
    <row r="9">
      <c r="B9" s="15" t="inlineStr">
        <is>
          <t>1.1 Potable Water Use</t>
        </is>
      </c>
      <c r="C9" s="16" t="inlineStr">
        <is>
          <t>What is the reduction in total potable water use due to efficient fixtures, appliances, rainwater use and recycled water use? To achieve points in this credit there must be &gt;25% potable water reduction.</t>
        </is>
      </c>
      <c r="D9" s="16" t="inlineStr">
        <is>
          <t>Opportunity for additional rainwater connection</t>
        </is>
      </c>
      <c r="E9" s="16" t="inlineStr">
        <is>
          <t>2041 kL</t>
        </is>
      </c>
    </row>
    <row r="10">
      <c r="B10" s="15" t="inlineStr">
        <is>
          <t>2.1 Stormwater Treatment</t>
        </is>
      </c>
      <c r="C10" s="16" t="inlineStr">
        <is>
          <t>Has best practice stormwater management been demonstrated?</t>
        </is>
      </c>
      <c r="D10" s="16" t="inlineStr">
        <is>
          <t>Min STORM Score</t>
        </is>
      </c>
      <c r="E10" s="16" t="inlineStr">
        <is>
          <t>100</t>
        </is>
      </c>
    </row>
    <row r="11">
      <c r="B11" s="15" t="inlineStr">
        <is>
          <t>2.1 Stormwater Treatment</t>
        </is>
      </c>
      <c r="C11" s="16" t="inlineStr">
        <is>
          <t>Has best practice stormwater management been demonstrated?</t>
        </is>
      </c>
      <c r="D11" s="16" t="inlineStr">
        <is>
          <t>STORM Score</t>
        </is>
      </c>
      <c r="E11" s="16" t="inlineStr">
        <is>
          <t>109</t>
        </is>
      </c>
    </row>
    <row r="12">
      <c r="B12" s="15" t="inlineStr">
        <is>
          <t>3.1 Water Efficient Landscaping</t>
        </is>
      </c>
      <c r="C12" s="16" t="inlineStr">
        <is>
          <t>Will water efficient landscaping be installed?</t>
        </is>
      </c>
      <c r="D12" s="16" t="inlineStr">
        <is>
          <t>Criteria Achieved ?</t>
        </is>
      </c>
      <c r="E12" s="16" t="inlineStr">
        <is>
          <t>Yes</t>
        </is>
      </c>
    </row>
    <row r="13">
      <c r="B13" s="15" t="inlineStr">
        <is>
          <t>4.1 Building Systems Water Use</t>
        </is>
      </c>
      <c r="C13" s="16" t="inlineStr">
        <is>
          <t>Where applicable, have measures been taken to reduce potable water consumption by &gt;80% in the buildings air-conditioning chillers and when testing fire safety systems?</t>
        </is>
      </c>
      <c r="D13" s="16" t="inlineStr">
        <is>
          <t>Criteria Achieved ?</t>
        </is>
      </c>
      <c r="E13" s="16" t="inlineStr">
        <is>
          <t>Yes</t>
        </is>
      </c>
    </row>
    <row r="14">
      <c r="B14" s="15" t="inlineStr">
        <is>
          <t>Project profile (Untitled Table)</t>
        </is>
      </c>
      <c r="C14" s="16" t="inlineStr">
        <is>
          <t>The information you enter in this profile relates to the whole site.</t>
        </is>
      </c>
      <c r="D14" s="16" t="inlineStr">
        <is>
          <t>Do you have a reticulated third pipe or an on-site water recycling system?</t>
        </is>
      </c>
      <c r="E14" s="16" t="inlineStr">
        <is>
          <t>No</t>
        </is>
      </c>
    </row>
    <row r="15">
      <c r="B15" s="15" t="inlineStr">
        <is>
          <t>Project profile (Untitled Table)</t>
        </is>
      </c>
      <c r="C15" s="16" t="inlineStr">
        <is>
          <t>The information you enter in this profile relates to the whole site.</t>
        </is>
      </c>
      <c r="D15" s="16" t="inlineStr">
        <is>
          <t>Are you installing a swimming pool?</t>
        </is>
      </c>
      <c r="E15" s="16" t="inlineStr">
        <is>
          <t>No</t>
        </is>
      </c>
    </row>
    <row r="16">
      <c r="B16" s="15" t="inlineStr">
        <is>
          <t>Stormwater profile (Grouped Table)</t>
        </is>
      </c>
      <c r="C16" s="16" t="inlineStr">
        <is>
          <t>Enter the stormwater quality modelling type and results for your project.</t>
        </is>
      </c>
      <c r="D16" s="16" t="inlineStr">
        <is>
          <t>Which stormwater modelling software are you using?</t>
        </is>
      </c>
      <c r="E16" s="16" t="inlineStr">
        <is>
          <t>Melbourne Water STORM tool</t>
        </is>
      </c>
    </row>
    <row r="17">
      <c r="B17" s="15" t="inlineStr">
        <is>
          <t>Stormwater profile (Grouped Table)</t>
        </is>
      </c>
      <c r="C17" s="16" t="inlineStr">
        <is>
          <t>Enter the stormwater quality modelling type and results for your project.</t>
        </is>
      </c>
      <c r="D17" s="16" t="inlineStr">
        <is>
          <t>STORM score achieved</t>
        </is>
      </c>
      <c r="E17" s="16" t="inlineStr">
        <is>
          <t>109</t>
        </is>
      </c>
    </row>
    <row r="18">
      <c r="B18" s="15" t="inlineStr">
        <is>
          <t>Stormwater profile (Grouped Table)</t>
        </is>
      </c>
      <c r="C18" s="16" t="inlineStr">
        <is>
          <t>Enter the stormwater quality modelling type and results for your project.</t>
        </is>
      </c>
      <c r="D18" s="16" t="inlineStr">
        <is>
          <t>Flow</t>
        </is>
      </c>
      <c r="E18" s="16" t="inlineStr">
        <is>
          <t>% Reduction</t>
        </is>
      </c>
    </row>
    <row r="19">
      <c r="B19" s="15" t="inlineStr">
        <is>
          <t>Stormwater profile (Grouped Table)</t>
        </is>
      </c>
      <c r="C19" s="16" t="inlineStr">
        <is>
          <t>Enter the stormwater quality modelling type and results for your project.</t>
        </is>
      </c>
      <c r="D19" s="16" t="inlineStr">
        <is>
          <t>Total Suspended Solids</t>
        </is>
      </c>
      <c r="E19" s="16" t="inlineStr">
        <is>
          <t>% Reduction</t>
        </is>
      </c>
    </row>
    <row r="20">
      <c r="B20" s="15" t="inlineStr">
        <is>
          <t>Stormwater profile (Grouped Table)</t>
        </is>
      </c>
      <c r="C20" s="16" t="inlineStr">
        <is>
          <t>Enter the stormwater quality modelling type and results for your project.</t>
        </is>
      </c>
      <c r="D20" s="16" t="inlineStr">
        <is>
          <t>Total Phosphorus</t>
        </is>
      </c>
      <c r="E20" s="16" t="inlineStr">
        <is>
          <t>% Reduction</t>
        </is>
      </c>
    </row>
    <row r="21">
      <c r="B21" s="15" t="inlineStr">
        <is>
          <t>Stormwater profile (Grouped Table)</t>
        </is>
      </c>
      <c r="C21" s="16" t="inlineStr">
        <is>
          <t>Enter the stormwater quality modelling type and results for your project.</t>
        </is>
      </c>
      <c r="D21" s="16" t="inlineStr">
        <is>
          <t>Total Nitrogen</t>
        </is>
      </c>
      <c r="E21" s="16" t="inlineStr">
        <is>
          <t>% Reduction</t>
        </is>
      </c>
    </row>
    <row r="22">
      <c r="B22" s="15" t="inlineStr">
        <is>
          <t>Recycled third pipe / on site water recycling system profile (Grouped Table)</t>
        </is>
      </c>
      <c r="C22" s="16" t="inlineStr">
        <is>
          <t>Enter all recycled third pipe and on site water recycling systems for your project. Connections to these systems are entered in the 'Rainwater tank profile' and the 'Fixtures, fittings and connections profile'.</t>
        </is>
      </c>
      <c r="D22" s="16" t="inlineStr">
        <is>
          <t>Recycled Profile Name</t>
        </is>
      </c>
      <c r="E22" s="16" t="inlineStr">
        <is>
          <t>Third pipe</t>
        </is>
      </c>
    </row>
    <row r="23">
      <c r="B23" s="15" t="inlineStr">
        <is>
          <t>Recycled third pipe / on site water recycling system profile (Grouped Table)</t>
        </is>
      </c>
      <c r="C23" s="16" t="inlineStr">
        <is>
          <t>Enter all recycled third pipe and on site water recycling systems for your project. Connections to these systems are entered in the 'Rainwater tank profile' and the 'Fixtures, fittings and connections profile'.</t>
        </is>
      </c>
      <c r="D23" s="16" t="inlineStr">
        <is>
          <t>Irrigation area connected to reticulated third pipe or an on-site water recycling system only (i.e. not also connected to rainwater system)</t>
        </is>
      </c>
      <c r="E23" s="16" t="inlineStr">
        <is>
          <t>Square Metres</t>
        </is>
      </c>
    </row>
    <row r="24">
      <c r="B24" s="15" t="inlineStr">
        <is>
          <t>Recycled third pipe / on site water recycling system profile (Grouped Table)</t>
        </is>
      </c>
      <c r="C24" s="16" t="inlineStr">
        <is>
          <t>Enter all recycled third pipe and on site water recycling systems for your project. Connections to these systems are entered in the 'Rainwater tank profile' and the 'Fixtures, fittings and connections profile'.</t>
        </is>
      </c>
      <c r="D24" s="16" t="inlineStr">
        <is>
          <t>Water Efficient Garden?</t>
        </is>
      </c>
      <c r="E24" s="16" t="inlineStr"/>
    </row>
    <row r="25">
      <c r="B25" s="15" t="inlineStr">
        <is>
          <t>Recycled third pipe / on site water recycling system profile (Grouped Table)</t>
        </is>
      </c>
      <c r="C25" s="16" t="inlineStr">
        <is>
          <t>Enter all recycled third pipe and on site water recycling systems for your project. Connections to these systems are entered in the 'Rainwater tank profile' and the 'Fixtures, fittings and connections profile'.</t>
        </is>
      </c>
      <c r="D25" s="16" t="inlineStr">
        <is>
          <t>Other external water demand connected to reticulated third pipe or an on-site water recycling system only (i.e. not also connected to rainwater system)</t>
        </is>
      </c>
      <c r="E25" s="16" t="inlineStr">
        <is>
          <t>Litres/Day</t>
        </is>
      </c>
    </row>
    <row r="26">
      <c r="B26" s="15" t="inlineStr">
        <is>
          <t>Rainwater tank profile (Tank 1)</t>
        </is>
      </c>
      <c r="C26" s="16" t="inlineStr">
        <is>
          <t>Enter all rainwater tanks for your project. Connections to these tanks are entered in the 'Water fixtures, fittings and connections profile'.</t>
        </is>
      </c>
      <c r="D26" s="16" t="inlineStr">
        <is>
          <t>What is the total roof area connected to the rainwater tank?</t>
        </is>
      </c>
      <c r="E26" s="16" t="inlineStr">
        <is>
          <t>440,unit:Square Metres</t>
        </is>
      </c>
    </row>
    <row r="27">
      <c r="B27" s="15" t="inlineStr">
        <is>
          <t>Rainwater tank profile (Tank 1)</t>
        </is>
      </c>
      <c r="C27" s="16" t="inlineStr">
        <is>
          <t>Enter all rainwater tanks for your project. Connections to these tanks are entered in the 'Water fixtures, fittings and connections profile'.</t>
        </is>
      </c>
      <c r="D27" s="16" t="inlineStr">
        <is>
          <t>Will this tank be connected to the reticulated third pipe or onsite water recycling system?</t>
        </is>
      </c>
      <c r="E27" s="16" t="inlineStr">
        <is>
          <t>No</t>
        </is>
      </c>
    </row>
    <row r="28">
      <c r="B28" s="15" t="inlineStr">
        <is>
          <t>Rainwater tank profile (Tank 1)</t>
        </is>
      </c>
      <c r="C28" s="16" t="inlineStr">
        <is>
          <t>Enter all rainwater tanks for your project. Connections to these tanks are entered in the 'Water fixtures, fittings and connections profile'.</t>
        </is>
      </c>
      <c r="D28" s="16" t="inlineStr">
        <is>
          <t>Tank Size</t>
        </is>
      </c>
      <c r="E28" s="16" t="inlineStr">
        <is>
          <t>9,500,unit:Litres</t>
        </is>
      </c>
    </row>
    <row r="29">
      <c r="B29" s="15" t="inlineStr">
        <is>
          <t>Rainwater tank profile (Tank 1)</t>
        </is>
      </c>
      <c r="C29" s="16" t="inlineStr">
        <is>
          <t>Enter all rainwater tanks for your project. Connections to these tanks are entered in the 'Water fixtures, fittings and connections profile'.</t>
        </is>
      </c>
      <c r="D29" s="16" t="inlineStr">
        <is>
          <t>Irrigation area connected to tank</t>
        </is>
      </c>
      <c r="E29" s="16" t="inlineStr">
        <is>
          <t>0.0,unit:Square Metres</t>
        </is>
      </c>
    </row>
    <row r="30">
      <c r="B30" s="15" t="inlineStr">
        <is>
          <t>Rainwater tank profile (Tank 1)</t>
        </is>
      </c>
      <c r="C30" s="16" t="inlineStr">
        <is>
          <t>Enter all rainwater tanks for your project. Connections to these tanks are entered in the 'Water fixtures, fittings and connections profile'.</t>
        </is>
      </c>
      <c r="D30" s="16" t="inlineStr">
        <is>
          <t>Is connected irrigation area a water efficient garden?</t>
        </is>
      </c>
      <c r="E30" s="16" t="inlineStr">
        <is>
          <t>No</t>
        </is>
      </c>
    </row>
    <row r="31">
      <c r="B31" s="15" t="inlineStr">
        <is>
          <t>Rainwater tank profile (Tank 1)</t>
        </is>
      </c>
      <c r="C31" s="16" t="inlineStr">
        <is>
          <t>Enter all rainwater tanks for your project. Connections to these tanks are entered in the 'Water fixtures, fittings and connections profile'.</t>
        </is>
      </c>
      <c r="D31" s="16" t="inlineStr">
        <is>
          <t>Other external water demand connected to tank?</t>
        </is>
      </c>
      <c r="E31" s="16" t="inlineStr">
        <is>
          <t>0.0,unit:Litres/Day</t>
        </is>
      </c>
    </row>
    <row r="32">
      <c r="B32" s="15" t="inlineStr">
        <is>
          <t>Fixtures, fittings &amp; connections profile (Student Accomodation (L1-L2))</t>
        </is>
      </c>
      <c r="C32" s="16" t="inlineStr">
        <is>
          <t>The information you enter here is used to calculate water consumption against a benchmark building. The results feed into the water credits.</t>
        </is>
      </c>
      <c r="D32" s="16" t="inlineStr">
        <is>
          <t>Building</t>
        </is>
      </c>
      <c r="E32" s="16" t="inlineStr">
        <is>
          <t>883 Dandenong Rd, Malvern East</t>
        </is>
      </c>
    </row>
    <row r="33">
      <c r="B33" s="15" t="inlineStr">
        <is>
          <t>Fixtures, fittings &amp; connections profile (Student Accomodation (L1-L2))</t>
        </is>
      </c>
      <c r="C33" s="16" t="inlineStr">
        <is>
          <t>The information you enter here is used to calculate water consumption against a benchmark building. The results feed into the water credits.</t>
        </is>
      </c>
      <c r="D33" s="16" t="inlineStr">
        <is>
          <t>Showerhead</t>
        </is>
      </c>
      <c r="E33" s="16" t="inlineStr">
        <is>
          <t>4 Star WELS (&gt;= 6.0 but &lt;= 7.5)</t>
        </is>
      </c>
    </row>
    <row r="34">
      <c r="B34" s="15" t="inlineStr">
        <is>
          <t>Fixtures, fittings &amp; connections profile (Student Accomodation (L1-L2))</t>
        </is>
      </c>
      <c r="C34" s="16" t="inlineStr">
        <is>
          <t>The information you enter here is used to calculate water consumption against a benchmark building. The results feed into the water credits.</t>
        </is>
      </c>
      <c r="D34" s="16" t="inlineStr">
        <is>
          <t>Bath</t>
        </is>
      </c>
      <c r="E34" s="16" t="inlineStr">
        <is>
          <t>Scope out</t>
        </is>
      </c>
    </row>
    <row r="35">
      <c r="B35" s="15" t="inlineStr">
        <is>
          <t>Fixtures, fittings &amp; connections profile (Student Accomodation (L1-L2))</t>
        </is>
      </c>
      <c r="C35" s="16" t="inlineStr">
        <is>
          <t>The information you enter here is used to calculate water consumption against a benchmark building. The results feed into the water credits.</t>
        </is>
      </c>
      <c r="D35" s="16" t="inlineStr">
        <is>
          <t>Kitchen Taps</t>
        </is>
      </c>
      <c r="E35" s="16" t="inlineStr">
        <is>
          <t>&gt;= 5 Star WELS rating</t>
        </is>
      </c>
    </row>
    <row r="36">
      <c r="B36" s="15" t="inlineStr">
        <is>
          <t>Fixtures, fittings &amp; connections profile (Student Accomodation (L1-L2))</t>
        </is>
      </c>
      <c r="C36" s="16" t="inlineStr">
        <is>
          <t>The information you enter here is used to calculate water consumption against a benchmark building. The results feed into the water credits.</t>
        </is>
      </c>
      <c r="D36" s="16" t="inlineStr">
        <is>
          <t>Bathroom Taps</t>
        </is>
      </c>
      <c r="E36" s="16" t="inlineStr">
        <is>
          <t>&gt;= 5 Star WELS rating</t>
        </is>
      </c>
    </row>
    <row r="37">
      <c r="B37" s="15" t="inlineStr">
        <is>
          <t>Fixtures, fittings &amp; connections profile (Student Accomodation (L1-L2))</t>
        </is>
      </c>
      <c r="C37" s="16" t="inlineStr">
        <is>
          <t>The information you enter here is used to calculate water consumption against a benchmark building. The results feed into the water credits.</t>
        </is>
      </c>
      <c r="D37" s="16" t="inlineStr">
        <is>
          <t>Dishwashers</t>
        </is>
      </c>
      <c r="E37" s="16" t="inlineStr">
        <is>
          <t>&gt;= 5 Star WELS rating</t>
        </is>
      </c>
    </row>
    <row r="38">
      <c r="B38" s="15" t="inlineStr">
        <is>
          <t>Fixtures, fittings &amp; connections profile (Student Accomodation (L1-L2))</t>
        </is>
      </c>
      <c r="C38" s="16" t="inlineStr">
        <is>
          <t>The information you enter here is used to calculate water consumption against a benchmark building. The results feed into the water credits.</t>
        </is>
      </c>
      <c r="D38" s="16" t="inlineStr">
        <is>
          <t>WC</t>
        </is>
      </c>
      <c r="E38" s="16" t="inlineStr">
        <is>
          <t>&gt;= 4 Star WELS rating</t>
        </is>
      </c>
    </row>
    <row r="39">
      <c r="B39" s="15" t="inlineStr">
        <is>
          <t>Fixtures, fittings &amp; connections profile (Student Accomodation (L1-L2))</t>
        </is>
      </c>
      <c r="C39" s="16" t="inlineStr">
        <is>
          <t>The information you enter here is used to calculate water consumption against a benchmark building. The results feed into the water credits.</t>
        </is>
      </c>
      <c r="D39" s="16" t="inlineStr">
        <is>
          <t>Urinals</t>
        </is>
      </c>
      <c r="E39" s="16" t="inlineStr">
        <is>
          <t>Scope out</t>
        </is>
      </c>
    </row>
    <row r="40">
      <c r="B40" s="15" t="inlineStr">
        <is>
          <t>Fixtures, fittings &amp; connections profile (Student Accomodation (L1-L2))</t>
        </is>
      </c>
      <c r="C40" s="16" t="inlineStr">
        <is>
          <t>The information you enter here is used to calculate water consumption against a benchmark building. The results feed into the water credits.</t>
        </is>
      </c>
      <c r="D40" s="16" t="inlineStr">
        <is>
          <t>Washing Machine Water Efficiency</t>
        </is>
      </c>
      <c r="E40" s="16" t="inlineStr">
        <is>
          <t>&gt;= 5 Star WELS rating</t>
        </is>
      </c>
    </row>
    <row r="41">
      <c r="B41" s="15" t="inlineStr">
        <is>
          <t>Fixtures, fittings &amp; connections profile (Student Accomodation (L1-L2))</t>
        </is>
      </c>
      <c r="C41" s="16" t="inlineStr">
        <is>
          <t>The information you enter here is used to calculate water consumption against a benchmark building. The results feed into the water credits.</t>
        </is>
      </c>
      <c r="D41" s="16" t="inlineStr">
        <is>
          <t>Which non-potable water source is the dwelling/space connected to?</t>
        </is>
      </c>
      <c r="E41" s="16" t="inlineStr">
        <is>
          <t>Tank 1</t>
        </is>
      </c>
    </row>
    <row r="42">
      <c r="B42" s="15" t="inlineStr">
        <is>
          <t>Fixtures, fittings &amp; connections profile (Student Accomodation (L1-L2))</t>
        </is>
      </c>
      <c r="C42" s="16" t="inlineStr">
        <is>
          <t>The information you enter here is used to calculate water consumption against a benchmark building. The results feed into the water credits.</t>
        </is>
      </c>
      <c r="D42" s="16" t="inlineStr">
        <is>
          <t>Non-potable water source connected to Toilets</t>
        </is>
      </c>
      <c r="E42" s="16" t="inlineStr">
        <is>
          <t>Yes</t>
        </is>
      </c>
    </row>
    <row r="43">
      <c r="B43" s="15" t="inlineStr">
        <is>
          <t>Fixtures, fittings &amp; connections profile (Student Accomodation (L1-L2))</t>
        </is>
      </c>
      <c r="C43" s="16" t="inlineStr">
        <is>
          <t>The information you enter here is used to calculate water consumption against a benchmark building. The results feed into the water credits.</t>
        </is>
      </c>
      <c r="D43" s="16" t="inlineStr">
        <is>
          <t>Non-potable water source connected to Laundry (washing machine)</t>
        </is>
      </c>
      <c r="E43" s="16" t="inlineStr">
        <is>
          <t>No</t>
        </is>
      </c>
    </row>
    <row r="44">
      <c r="B44" s="15" t="inlineStr">
        <is>
          <t>Fixtures, fittings &amp; connections profile (Student Accomodation (L1-L2))</t>
        </is>
      </c>
      <c r="C44" s="16" t="inlineStr">
        <is>
          <t>The information you enter here is used to calculate water consumption against a benchmark building. The results feed into the water credits.</t>
        </is>
      </c>
      <c r="D44" s="16" t="inlineStr">
        <is>
          <t>Non-potable water source connected to Hot Water System</t>
        </is>
      </c>
      <c r="E44" s="16" t="inlineStr">
        <is>
          <t>No</t>
        </is>
      </c>
    </row>
    <row r="45">
      <c r="B45" s="15" t="inlineStr">
        <is>
          <t>Fixtures, fittings &amp; connections profile (Student Accomodation (L3-L9))</t>
        </is>
      </c>
      <c r="C45" s="16" t="inlineStr">
        <is>
          <t>The information you enter here is used to calculate water consumption against a benchmark building. The results feed into the water credits.</t>
        </is>
      </c>
      <c r="D45" s="16" t="inlineStr">
        <is>
          <t>Building</t>
        </is>
      </c>
      <c r="E45" s="16" t="inlineStr">
        <is>
          <t>883 Dandenong Rd, Malvern East</t>
        </is>
      </c>
    </row>
    <row r="46">
      <c r="B46" s="15" t="inlineStr">
        <is>
          <t>Fixtures, fittings &amp; connections profile (Student Accomodation (L3-L9))</t>
        </is>
      </c>
      <c r="C46" s="16" t="inlineStr">
        <is>
          <t>The information you enter here is used to calculate water consumption against a benchmark building. The results feed into the water credits.</t>
        </is>
      </c>
      <c r="D46" s="16" t="inlineStr">
        <is>
          <t>Showerhead</t>
        </is>
      </c>
      <c r="E46" s="16" t="inlineStr">
        <is>
          <t>4 Star WELS (&gt;= 6.0 but &lt;= 7.5)</t>
        </is>
      </c>
    </row>
    <row r="47">
      <c r="B47" s="15" t="inlineStr">
        <is>
          <t>Fixtures, fittings &amp; connections profile (Student Accomodation (L3-L9))</t>
        </is>
      </c>
      <c r="C47" s="16" t="inlineStr">
        <is>
          <t>The information you enter here is used to calculate water consumption against a benchmark building. The results feed into the water credits.</t>
        </is>
      </c>
      <c r="D47" s="16" t="inlineStr">
        <is>
          <t>Bath</t>
        </is>
      </c>
      <c r="E47" s="16" t="inlineStr">
        <is>
          <t>Scope out</t>
        </is>
      </c>
    </row>
    <row r="48">
      <c r="B48" s="15" t="inlineStr">
        <is>
          <t>Fixtures, fittings &amp; connections profile (Student Accomodation (L3-L9))</t>
        </is>
      </c>
      <c r="C48" s="16" t="inlineStr">
        <is>
          <t>The information you enter here is used to calculate water consumption against a benchmark building. The results feed into the water credits.</t>
        </is>
      </c>
      <c r="D48" s="16" t="inlineStr">
        <is>
          <t>Kitchen Taps</t>
        </is>
      </c>
      <c r="E48" s="16" t="inlineStr">
        <is>
          <t>&gt;= 5 Star WELS rating</t>
        </is>
      </c>
    </row>
    <row r="49">
      <c r="B49" s="15" t="inlineStr">
        <is>
          <t>Fixtures, fittings &amp; connections profile (Student Accomodation (L3-L9))</t>
        </is>
      </c>
      <c r="C49" s="16" t="inlineStr">
        <is>
          <t>The information you enter here is used to calculate water consumption against a benchmark building. The results feed into the water credits.</t>
        </is>
      </c>
      <c r="D49" s="16" t="inlineStr">
        <is>
          <t>Bathroom Taps</t>
        </is>
      </c>
      <c r="E49" s="16" t="inlineStr">
        <is>
          <t>&gt;= 5 Star WELS rating</t>
        </is>
      </c>
    </row>
    <row r="50">
      <c r="B50" s="15" t="inlineStr">
        <is>
          <t>Fixtures, fittings &amp; connections profile (Student Accomodation (L3-L9))</t>
        </is>
      </c>
      <c r="C50" s="16" t="inlineStr">
        <is>
          <t>The information you enter here is used to calculate water consumption against a benchmark building. The results feed into the water credits.</t>
        </is>
      </c>
      <c r="D50" s="16" t="inlineStr">
        <is>
          <t>Dishwashers</t>
        </is>
      </c>
      <c r="E50" s="16" t="inlineStr">
        <is>
          <t>&gt;= 5 Star WELS rating</t>
        </is>
      </c>
    </row>
    <row r="51">
      <c r="B51" s="15" t="inlineStr">
        <is>
          <t>Fixtures, fittings &amp; connections profile (Student Accomodation (L3-L9))</t>
        </is>
      </c>
      <c r="C51" s="16" t="inlineStr">
        <is>
          <t>The information you enter here is used to calculate water consumption against a benchmark building. The results feed into the water credits.</t>
        </is>
      </c>
      <c r="D51" s="16" t="inlineStr">
        <is>
          <t>WC</t>
        </is>
      </c>
      <c r="E51" s="16" t="inlineStr">
        <is>
          <t>&gt;= 4 Star WELS rating</t>
        </is>
      </c>
    </row>
    <row r="52">
      <c r="B52" s="15" t="inlineStr">
        <is>
          <t>Fixtures, fittings &amp; connections profile (Student Accomodation (L3-L9))</t>
        </is>
      </c>
      <c r="C52" s="16" t="inlineStr">
        <is>
          <t>The information you enter here is used to calculate water consumption against a benchmark building. The results feed into the water credits.</t>
        </is>
      </c>
      <c r="D52" s="16" t="inlineStr">
        <is>
          <t>Urinals</t>
        </is>
      </c>
      <c r="E52" s="16" t="inlineStr">
        <is>
          <t>Scope out</t>
        </is>
      </c>
    </row>
    <row r="53">
      <c r="B53" s="15" t="inlineStr">
        <is>
          <t>Fixtures, fittings &amp; connections profile (Student Accomodation (L3-L9))</t>
        </is>
      </c>
      <c r="C53" s="16" t="inlineStr">
        <is>
          <t>The information you enter here is used to calculate water consumption against a benchmark building. The results feed into the water credits.</t>
        </is>
      </c>
      <c r="D53" s="16" t="inlineStr">
        <is>
          <t>Washing Machine Water Efficiency</t>
        </is>
      </c>
      <c r="E53" s="16" t="inlineStr">
        <is>
          <t>&gt;= 5 Star WELS rating</t>
        </is>
      </c>
    </row>
    <row r="54">
      <c r="B54" s="15" t="inlineStr">
        <is>
          <t>Fixtures, fittings &amp; connections profile (Student Accomodation (L3-L9))</t>
        </is>
      </c>
      <c r="C54" s="16" t="inlineStr">
        <is>
          <t>The information you enter here is used to calculate water consumption against a benchmark building. The results feed into the water credits.</t>
        </is>
      </c>
      <c r="D54" s="16" t="inlineStr">
        <is>
          <t>Which non-potable water source is the dwelling/space connected to?</t>
        </is>
      </c>
      <c r="E54" s="16" t="inlineStr">
        <is>
          <t>None</t>
        </is>
      </c>
    </row>
    <row r="55">
      <c r="B55" s="15" t="inlineStr">
        <is>
          <t>Fixtures, fittings &amp; connections profile (Student Accomodation (L3-L9))</t>
        </is>
      </c>
      <c r="C55" s="16" t="inlineStr">
        <is>
          <t>The information you enter here is used to calculate water consumption against a benchmark building. The results feed into the water credits.</t>
        </is>
      </c>
      <c r="D55" s="16" t="inlineStr">
        <is>
          <t>Non-potable water source connected to Toilets</t>
        </is>
      </c>
      <c r="E55" s="16" t="inlineStr">
        <is>
          <t>No</t>
        </is>
      </c>
    </row>
    <row r="56">
      <c r="B56" s="15" t="inlineStr">
        <is>
          <t>Fixtures, fittings &amp; connections profile (Student Accomodation (L3-L9))</t>
        </is>
      </c>
      <c r="C56" s="16" t="inlineStr">
        <is>
          <t>The information you enter here is used to calculate water consumption against a benchmark building. The results feed into the water credits.</t>
        </is>
      </c>
      <c r="D56" s="16" t="inlineStr">
        <is>
          <t>Non-potable water source connected to Laundry (washing machine)</t>
        </is>
      </c>
      <c r="E56" s="16" t="inlineStr">
        <is>
          <t>No</t>
        </is>
      </c>
    </row>
    <row r="57">
      <c r="B57" s="15" t="inlineStr">
        <is>
          <t>Fixtures, fittings &amp; connections profile (Student Accomodation (L3-L9))</t>
        </is>
      </c>
      <c r="C57" s="16" t="inlineStr">
        <is>
          <t>The information you enter here is used to calculate water consumption against a benchmark building. The results feed into the water credits.</t>
        </is>
      </c>
      <c r="D57" s="16" t="inlineStr">
        <is>
          <t>Non-potable water source connected to Hot Water System</t>
        </is>
      </c>
      <c r="E57" s="16" t="inlineStr">
        <is>
          <t>No</t>
        </is>
      </c>
    </row>
    <row r="58">
      <c r="B58" s="15" t="inlineStr">
        <is>
          <t>Fixtures, fittings &amp; connections profile (GF Retail)</t>
        </is>
      </c>
      <c r="C58" s="16" t="inlineStr">
        <is>
          <t>The information you enter here is used to calculate water consumption against a benchmark building. The results feed into the water credits.</t>
        </is>
      </c>
      <c r="D58" s="16" t="inlineStr">
        <is>
          <t>Building</t>
        </is>
      </c>
      <c r="E58" s="16" t="inlineStr">
        <is>
          <t>883 Dandenong Rd, Malvern East</t>
        </is>
      </c>
    </row>
    <row r="59">
      <c r="B59" s="15" t="inlineStr">
        <is>
          <t>Fixtures, fittings &amp; connections profile (GF Retail)</t>
        </is>
      </c>
      <c r="C59" s="16" t="inlineStr">
        <is>
          <t>The information you enter here is used to calculate water consumption against a benchmark building. The results feed into the water credits.</t>
        </is>
      </c>
      <c r="D59" s="16" t="inlineStr">
        <is>
          <t>Showerhead</t>
        </is>
      </c>
      <c r="E59" s="16" t="inlineStr">
        <is>
          <t>Scope out</t>
        </is>
      </c>
    </row>
    <row r="60">
      <c r="B60" s="15" t="inlineStr">
        <is>
          <t>Fixtures, fittings &amp; connections profile (GF Retail)</t>
        </is>
      </c>
      <c r="C60" s="16" t="inlineStr">
        <is>
          <t>The information you enter here is used to calculate water consumption against a benchmark building. The results feed into the water credits.</t>
        </is>
      </c>
      <c r="D60" s="16" t="inlineStr">
        <is>
          <t>Bath</t>
        </is>
      </c>
      <c r="E60" s="16" t="inlineStr">
        <is>
          <t>Scope out</t>
        </is>
      </c>
    </row>
    <row r="61">
      <c r="B61" s="15" t="inlineStr">
        <is>
          <t>Fixtures, fittings &amp; connections profile (GF Retail)</t>
        </is>
      </c>
      <c r="C61" s="16" t="inlineStr">
        <is>
          <t>The information you enter here is used to calculate water consumption against a benchmark building. The results feed into the water credits.</t>
        </is>
      </c>
      <c r="D61" s="16" t="inlineStr">
        <is>
          <t>Kitchen Taps</t>
        </is>
      </c>
      <c r="E61" s="16" t="inlineStr">
        <is>
          <t>&gt;= 5 Star WELS rating</t>
        </is>
      </c>
    </row>
    <row r="62">
      <c r="B62" s="15" t="inlineStr">
        <is>
          <t>Fixtures, fittings &amp; connections profile (GF Retail)</t>
        </is>
      </c>
      <c r="C62" s="16" t="inlineStr">
        <is>
          <t>The information you enter here is used to calculate water consumption against a benchmark building. The results feed into the water credits.</t>
        </is>
      </c>
      <c r="D62" s="16" t="inlineStr">
        <is>
          <t>Bathroom Taps</t>
        </is>
      </c>
      <c r="E62" s="16" t="inlineStr">
        <is>
          <t>&gt;= 5 Star WELS rating</t>
        </is>
      </c>
    </row>
    <row r="63">
      <c r="B63" s="15" t="inlineStr">
        <is>
          <t>Fixtures, fittings &amp; connections profile (GF Retail)</t>
        </is>
      </c>
      <c r="C63" s="16" t="inlineStr">
        <is>
          <t>The information you enter here is used to calculate water consumption against a benchmark building. The results feed into the water credits.</t>
        </is>
      </c>
      <c r="D63" s="16" t="inlineStr">
        <is>
          <t>Dishwashers</t>
        </is>
      </c>
      <c r="E63" s="16" t="inlineStr">
        <is>
          <t>&gt;= 5 Star WELS rating</t>
        </is>
      </c>
    </row>
    <row r="64">
      <c r="B64" s="15" t="inlineStr">
        <is>
          <t>Fixtures, fittings &amp; connections profile (GF Retail)</t>
        </is>
      </c>
      <c r="C64" s="16" t="inlineStr">
        <is>
          <t>The information you enter here is used to calculate water consumption against a benchmark building. The results feed into the water credits.</t>
        </is>
      </c>
      <c r="D64" s="16" t="inlineStr">
        <is>
          <t>WC</t>
        </is>
      </c>
      <c r="E64" s="16" t="inlineStr">
        <is>
          <t>&gt;= 4 Star WELS rating</t>
        </is>
      </c>
    </row>
    <row r="65">
      <c r="B65" s="15" t="inlineStr">
        <is>
          <t>Fixtures, fittings &amp; connections profile (GF Retail)</t>
        </is>
      </c>
      <c r="C65" s="16" t="inlineStr">
        <is>
          <t>The information you enter here is used to calculate water consumption against a benchmark building. The results feed into the water credits.</t>
        </is>
      </c>
      <c r="D65" s="16" t="inlineStr">
        <is>
          <t>Urinals</t>
        </is>
      </c>
      <c r="E65" s="16" t="inlineStr">
        <is>
          <t>Scope out</t>
        </is>
      </c>
    </row>
    <row r="66">
      <c r="B66" s="15" t="inlineStr">
        <is>
          <t>Fixtures, fittings &amp; connections profile (GF Retail)</t>
        </is>
      </c>
      <c r="C66" s="16" t="inlineStr">
        <is>
          <t>The information you enter here is used to calculate water consumption against a benchmark building. The results feed into the water credits.</t>
        </is>
      </c>
      <c r="D66" s="16" t="inlineStr">
        <is>
          <t>Washing Machine Water Efficiency</t>
        </is>
      </c>
      <c r="E66" s="16" t="inlineStr">
        <is>
          <t>Scope out</t>
        </is>
      </c>
    </row>
    <row r="67">
      <c r="B67" s="15" t="inlineStr">
        <is>
          <t>Fixtures, fittings &amp; connections profile (GF Retail)</t>
        </is>
      </c>
      <c r="C67" s="16" t="inlineStr">
        <is>
          <t>The information you enter here is used to calculate water consumption against a benchmark building. The results feed into the water credits.</t>
        </is>
      </c>
      <c r="D67" s="16" t="inlineStr">
        <is>
          <t>Which non-potable water source is the dwelling/space connected to?</t>
        </is>
      </c>
      <c r="E67" s="16" t="inlineStr">
        <is>
          <t>None</t>
        </is>
      </c>
    </row>
    <row r="68">
      <c r="B68" s="15" t="inlineStr">
        <is>
          <t>Fixtures, fittings &amp; connections profile (GF Retail)</t>
        </is>
      </c>
      <c r="C68" s="16" t="inlineStr">
        <is>
          <t>The information you enter here is used to calculate water consumption against a benchmark building. The results feed into the water credits.</t>
        </is>
      </c>
      <c r="D68" s="16" t="inlineStr">
        <is>
          <t>Non-potable water source connected to Toilets</t>
        </is>
      </c>
      <c r="E68" s="16" t="inlineStr">
        <is>
          <t>No</t>
        </is>
      </c>
    </row>
    <row r="69">
      <c r="B69" s="15" t="inlineStr">
        <is>
          <t>Fixtures, fittings &amp; connections profile (GF Retail)</t>
        </is>
      </c>
      <c r="C69" s="16" t="inlineStr">
        <is>
          <t>The information you enter here is used to calculate water consumption against a benchmark building. The results feed into the water credits.</t>
        </is>
      </c>
      <c r="D69" s="16" t="inlineStr">
        <is>
          <t>Non-potable water source connected to Laundry (washing machine)</t>
        </is>
      </c>
      <c r="E69" s="16" t="inlineStr">
        <is>
          <t>No</t>
        </is>
      </c>
    </row>
    <row r="70">
      <c r="B70" s="15" t="inlineStr">
        <is>
          <t>Fixtures, fittings &amp; connections profile (GF Retail)</t>
        </is>
      </c>
      <c r="C70" s="16" t="inlineStr">
        <is>
          <t>The information you enter here is used to calculate water consumption against a benchmark building. The results feed into the water credits.</t>
        </is>
      </c>
      <c r="D70" s="16" t="inlineStr">
        <is>
          <t>Non-potable water source connected to Hot Water System</t>
        </is>
      </c>
      <c r="E70" s="16" t="inlineStr">
        <is>
          <t>No</t>
        </is>
      </c>
    </row>
    <row r="71">
      <c r="B71" s="15" t="inlineStr">
        <is>
          <t>1.1 Potable Water Use</t>
        </is>
      </c>
      <c r="C71" s="16" t="inlineStr">
        <is>
          <t>What is the reduction in total potable water use due to efficient fixtures, appliances, rainwater use and recycled water use? To achieve points in this credit there must be &gt;25% potable water reduction.</t>
        </is>
      </c>
      <c r="D71" s="16" t="inlineStr">
        <is>
          <t>Score</t>
        </is>
      </c>
      <c r="E71" s="16" t="inlineStr">
        <is>
          <t>48%</t>
        </is>
      </c>
    </row>
    <row r="72">
      <c r="B72" s="15" t="inlineStr">
        <is>
          <t>1.1 Potable Water Use</t>
        </is>
      </c>
      <c r="C72" s="16" t="inlineStr">
        <is>
          <t>What is the reduction in total potable water use due to efficient fixtures, appliances, rainwater use and recycled water use? To achieve points in this credit there must be &gt;25% potable water reduction.</t>
        </is>
      </c>
      <c r="D72" s="16" t="inlineStr">
        <is>
          <t>Weighting</t>
        </is>
      </c>
      <c r="E72" s="16" t="inlineStr">
        <is>
          <t>31.2% weight</t>
        </is>
      </c>
    </row>
    <row r="73">
      <c r="B73" s="15" t="inlineStr">
        <is>
          <t>1.1 Potable Water Use</t>
        </is>
      </c>
      <c r="C73" s="16" t="inlineStr">
        <is>
          <t>What is the reduction in total potable water use due to efficient fixtures, appliances, rainwater use and recycled water use? To achieve points in this credit there must be &gt;25% potable water reduction.</t>
        </is>
      </c>
      <c r="D73" s="16" t="inlineStr">
        <is>
          <t>Disabled Reason</t>
        </is>
      </c>
      <c r="E73" s="16" t="inlineStr">
        <is>
          <t>None</t>
        </is>
      </c>
    </row>
    <row r="74">
      <c r="B74" s="15" t="inlineStr">
        <is>
          <t>1.1 Potable Water Use</t>
        </is>
      </c>
      <c r="C74" s="16" t="inlineStr">
        <is>
          <t>What is the reduction in total potable water use due to efficient fixtures, appliances, rainwater use and recycled water use? To achieve points in this credit there must be &gt;25% potable water reduction.</t>
        </is>
      </c>
      <c r="D74" s="16" t="inlineStr">
        <is>
          <t>Scoped Out Reason</t>
        </is>
      </c>
      <c r="E74" s="16" t="inlineStr">
        <is>
          <t>No reason provided. This credit is not scoped out until a reason is provided.</t>
        </is>
      </c>
    </row>
    <row r="75">
      <c r="B75" s="15" t="inlineStr">
        <is>
          <t>1.1 Potable Water Use</t>
        </is>
      </c>
      <c r="C75" s="16" t="inlineStr">
        <is>
          <t>What is the reduction in total potable water use due to efficient fixtures, appliances, rainwater use and recycled water use? To achieve points in this credit there must be &gt;25% potable water reduction.</t>
        </is>
      </c>
      <c r="D75" s="16" t="inlineStr">
        <is>
          <t>Supporting Evidence</t>
        </is>
      </c>
      <c r="E75" s="16" t="inlineStr">
        <is>
          <t>Required</t>
        </is>
      </c>
    </row>
    <row r="76">
      <c r="B76" s="15" t="inlineStr">
        <is>
          <t>2.1 Stormwater Treatment</t>
        </is>
      </c>
      <c r="C76" s="16" t="inlineStr">
        <is>
          <t>Has best practice stormwater management been demonstrated?</t>
        </is>
      </c>
      <c r="D76" s="16" t="inlineStr">
        <is>
          <t>Score</t>
        </is>
      </c>
      <c r="E76" s="16" t="inlineStr">
        <is>
          <t>100%</t>
        </is>
      </c>
    </row>
    <row r="77">
      <c r="B77" s="15" t="inlineStr">
        <is>
          <t>2.1 Stormwater Treatment</t>
        </is>
      </c>
      <c r="C77" s="16" t="inlineStr">
        <is>
          <t>Has best practice stormwater management been demonstrated?</t>
        </is>
      </c>
      <c r="D77" s="16" t="inlineStr">
        <is>
          <t>Weighting</t>
        </is>
      </c>
      <c r="E77" s="16" t="inlineStr">
        <is>
          <t>56.2% weight</t>
        </is>
      </c>
    </row>
    <row r="78">
      <c r="B78" s="15" t="inlineStr">
        <is>
          <t>2.1 Stormwater Treatment</t>
        </is>
      </c>
      <c r="C78" s="16" t="inlineStr">
        <is>
          <t>Has best practice stormwater management been demonstrated?</t>
        </is>
      </c>
      <c r="D78" s="16" t="inlineStr">
        <is>
          <t>Disabled Reason</t>
        </is>
      </c>
      <c r="E78" s="16" t="inlineStr">
        <is>
          <t>None</t>
        </is>
      </c>
    </row>
    <row r="79">
      <c r="B79" s="15" t="inlineStr">
        <is>
          <t>2.1 Stormwater Treatment</t>
        </is>
      </c>
      <c r="C79" s="16" t="inlineStr">
        <is>
          <t>Has best practice stormwater management been demonstrated?</t>
        </is>
      </c>
      <c r="D79" s="16" t="inlineStr">
        <is>
          <t>Scoped Out Reason</t>
        </is>
      </c>
      <c r="E79" s="16" t="inlineStr">
        <is>
          <t>No reason provided. This credit is not scoped out until a reason is provided.</t>
        </is>
      </c>
    </row>
    <row r="80">
      <c r="B80" s="15" t="inlineStr">
        <is>
          <t>2.1 Stormwater Treatment</t>
        </is>
      </c>
      <c r="C80" s="16" t="inlineStr">
        <is>
          <t>Has best practice stormwater management been demonstrated?</t>
        </is>
      </c>
      <c r="D80" s="16" t="inlineStr">
        <is>
          <t>Supporting Evidence</t>
        </is>
      </c>
      <c r="E80" s="16" t="inlineStr">
        <is>
          <t>Required</t>
        </is>
      </c>
    </row>
    <row r="81">
      <c r="B81" s="15" t="inlineStr">
        <is>
          <t>3.1 Water Efficient Landscaping</t>
        </is>
      </c>
      <c r="C81" s="16" t="inlineStr">
        <is>
          <t>Will water efficient landscaping be installed?</t>
        </is>
      </c>
      <c r="D81" s="16" t="inlineStr">
        <is>
          <t>Score</t>
        </is>
      </c>
      <c r="E81" s="16" t="inlineStr">
        <is>
          <t>100%</t>
        </is>
      </c>
    </row>
    <row r="82">
      <c r="B82" s="15" t="inlineStr">
        <is>
          <t>3.1 Water Efficient Landscaping</t>
        </is>
      </c>
      <c r="C82" s="16" t="inlineStr">
        <is>
          <t>Will water efficient landscaping be installed?</t>
        </is>
      </c>
      <c r="D82" s="16" t="inlineStr">
        <is>
          <t>Weighting</t>
        </is>
      </c>
      <c r="E82" s="16" t="inlineStr">
        <is>
          <t>6.2% weight</t>
        </is>
      </c>
    </row>
    <row r="83">
      <c r="B83" s="15" t="inlineStr">
        <is>
          <t>3.1 Water Efficient Landscaping</t>
        </is>
      </c>
      <c r="C83" s="16" t="inlineStr">
        <is>
          <t>Will water efficient landscaping be installed?</t>
        </is>
      </c>
      <c r="D83" s="16" t="inlineStr">
        <is>
          <t>Disabled Reason</t>
        </is>
      </c>
      <c r="E83" s="16" t="inlineStr">
        <is>
          <t>None</t>
        </is>
      </c>
    </row>
    <row r="84">
      <c r="B84" s="15" t="inlineStr">
        <is>
          <t>3.1 Water Efficient Landscaping</t>
        </is>
      </c>
      <c r="C84" s="16" t="inlineStr">
        <is>
          <t>Will water efficient landscaping be installed?</t>
        </is>
      </c>
      <c r="D84" s="16" t="inlineStr">
        <is>
          <t>Scoped Out Reason</t>
        </is>
      </c>
      <c r="E84" s="16" t="inlineStr">
        <is>
          <t>No reason provided. This credit is not scoped out until a reason is provided.</t>
        </is>
      </c>
    </row>
    <row r="85">
      <c r="B85" s="15" t="inlineStr">
        <is>
          <t>3.1 Water Efficient Landscaping</t>
        </is>
      </c>
      <c r="C85" s="16" t="inlineStr">
        <is>
          <t>Will water efficient landscaping be installed?</t>
        </is>
      </c>
      <c r="D85" s="16" t="inlineStr">
        <is>
          <t>Supporting Evidence</t>
        </is>
      </c>
      <c r="E85" s="16" t="inlineStr">
        <is>
          <t>Required</t>
        </is>
      </c>
    </row>
    <row r="86">
      <c r="B86" s="15" t="inlineStr">
        <is>
          <t>4.1 Building Systems Water Use</t>
        </is>
      </c>
      <c r="C86" s="16" t="inlineStr">
        <is>
          <t>Where applicable, have measures been taken to reduce potable water consumption by &gt;80% in the buildings air-conditioning chillers and when testing fire safety systems?</t>
        </is>
      </c>
      <c r="D86" s="16" t="inlineStr">
        <is>
          <t>Score</t>
        </is>
      </c>
      <c r="E86" s="16" t="inlineStr">
        <is>
          <t>100%</t>
        </is>
      </c>
    </row>
    <row r="87">
      <c r="B87" s="15" t="inlineStr">
        <is>
          <t>4.1 Building Systems Water Use</t>
        </is>
      </c>
      <c r="C87" s="16" t="inlineStr">
        <is>
          <t>Where applicable, have measures been taken to reduce potable water consumption by &gt;80% in the buildings air-conditioning chillers and when testing fire safety systems?</t>
        </is>
      </c>
      <c r="D87" s="16" t="inlineStr">
        <is>
          <t>Weighting</t>
        </is>
      </c>
      <c r="E87" s="16" t="inlineStr">
        <is>
          <t>6.2% weight</t>
        </is>
      </c>
    </row>
    <row r="88">
      <c r="B88" s="15" t="inlineStr">
        <is>
          <t>4.1 Building Systems Water Use</t>
        </is>
      </c>
      <c r="C88" s="16" t="inlineStr">
        <is>
          <t>Where applicable, have measures been taken to reduce potable water consumption by &gt;80% in the buildings air-conditioning chillers and when testing fire safety systems?</t>
        </is>
      </c>
      <c r="D88" s="16" t="inlineStr">
        <is>
          <t>Disabled Reason</t>
        </is>
      </c>
      <c r="E88" s="16" t="inlineStr">
        <is>
          <t>None</t>
        </is>
      </c>
    </row>
    <row r="89">
      <c r="B89" s="15" t="inlineStr">
        <is>
          <t>4.1 Building Systems Water Use</t>
        </is>
      </c>
      <c r="C89" s="16" t="inlineStr">
        <is>
          <t>Where applicable, have measures been taken to reduce potable water consumption by &gt;80% in the buildings air-conditioning chillers and when testing fire safety systems?</t>
        </is>
      </c>
      <c r="D89" s="16" t="inlineStr">
        <is>
          <t>Scoped Out Reason</t>
        </is>
      </c>
      <c r="E89" s="16" t="inlineStr">
        <is>
          <t>No reason provided. This credit is not scoped out until a reason is provided.</t>
        </is>
      </c>
    </row>
    <row r="90">
      <c r="B90" s="17" t="inlineStr">
        <is>
          <t>4.1 Building Systems Water Use</t>
        </is>
      </c>
      <c r="C90" s="18" t="inlineStr">
        <is>
          <t>Where applicable, have measures been taken to reduce potable water consumption by &gt;80% in the buildings air-conditioning chillers and when testing fire safety systems?</t>
        </is>
      </c>
      <c r="D90" s="18" t="inlineStr">
        <is>
          <t>Supporting Evidence</t>
        </is>
      </c>
      <c r="E90" s="18" t="inlineStr">
        <is>
          <t>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112"/>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Thermal Performance Rating - Non-Residential</t>
        </is>
      </c>
      <c r="C3" s="16" t="inlineStr">
        <is>
          <t>What is the % reduction in heating and cooling energy consumption against the reference case (NCC2022 Section J)?</t>
        </is>
      </c>
      <c r="D3" s="16" t="inlineStr">
        <is>
          <t>Deemed-to-Satisfy</t>
        </is>
      </c>
      <c r="E3" s="16" t="inlineStr">
        <is>
          <t>Yes</t>
        </is>
      </c>
    </row>
    <row r="4">
      <c r="B4" s="15" t="inlineStr">
        <is>
          <t>1.1 Thermal Performance Rating - Non-Residential</t>
        </is>
      </c>
      <c r="C4" s="16" t="inlineStr">
        <is>
          <t>What is the % reduction in heating and cooling energy consumption against the reference case (NCC2022 Section J)?</t>
        </is>
      </c>
      <c r="D4" s="16" t="inlineStr">
        <is>
          <t>Percentage Achieved ?</t>
        </is>
      </c>
      <c r="E4" s="16" t="inlineStr">
        <is>
          <t xml:space="preserve"> Percentage %</t>
        </is>
      </c>
    </row>
    <row r="5">
      <c r="B5" s="15" t="inlineStr">
        <is>
          <t>1.1 Thermal Performance Rating - Non-Residential</t>
        </is>
      </c>
      <c r="C5" s="16" t="inlineStr">
        <is>
          <t>What is the % reduction in heating and cooling energy consumption against the reference case (NCC2022 Section J)?</t>
        </is>
      </c>
      <c r="D5" s="16" t="inlineStr">
        <is>
          <t>Total Improvement</t>
        </is>
      </c>
      <c r="E5" s="16" t="inlineStr">
        <is>
          <t>0%</t>
        </is>
      </c>
    </row>
    <row r="6">
      <c r="B6" s="15" t="inlineStr">
        <is>
          <t>2.1 Greenhouse Gas Emissions</t>
        </is>
      </c>
      <c r="C6" s="16" t="inlineStr">
        <is>
          <t>What is the % reduction in annual greenhouse gas emissions against the benchmark?</t>
        </is>
      </c>
      <c r="D6" s="16" t="inlineStr">
        <is>
          <t>Deemed-to-Satisfy</t>
        </is>
      </c>
      <c r="E6" s="16" t="inlineStr">
        <is>
          <t>Yes</t>
        </is>
      </c>
    </row>
    <row r="7">
      <c r="B7" s="15" t="inlineStr">
        <is>
          <t>2.1 Greenhouse Gas Emissions</t>
        </is>
      </c>
      <c r="C7" s="16" t="inlineStr">
        <is>
          <t>What is the % reduction in annual greenhouse gas emissions against the benchmark?</t>
        </is>
      </c>
      <c r="D7" s="16" t="inlineStr">
        <is>
          <t>Percentage Achieved ?</t>
        </is>
      </c>
      <c r="E7" s="16" t="inlineStr">
        <is>
          <t xml:space="preserve"> Percentage %</t>
        </is>
      </c>
    </row>
    <row r="8">
      <c r="B8" s="15" t="inlineStr">
        <is>
          <t>2.1 Greenhouse Gas Emissions</t>
        </is>
      </c>
      <c r="C8" s="16" t="inlineStr">
        <is>
          <t>What is the % reduction in annual greenhouse gas emissions against the benchmark?</t>
        </is>
      </c>
      <c r="D8" s="16" t="inlineStr">
        <is>
          <t>Reference Building with Reference Services (BCA only)</t>
        </is>
      </c>
      <c r="E8" s="16" t="inlineStr">
        <is>
          <t>11,811 kg CO2</t>
        </is>
      </c>
    </row>
    <row r="9">
      <c r="B9" s="15" t="inlineStr">
        <is>
          <t>2.1 Greenhouse Gas Emissions</t>
        </is>
      </c>
      <c r="C9" s="16" t="inlineStr">
        <is>
          <t>What is the % reduction in annual greenhouse gas emissions against the benchmark?</t>
        </is>
      </c>
      <c r="D9" s="16" t="inlineStr">
        <is>
          <t>Proposed Building with Proposed Services (Actual Building)</t>
        </is>
      </c>
      <c r="E9" s="16" t="inlineStr">
        <is>
          <t>11,811 kg CO2</t>
        </is>
      </c>
    </row>
    <row r="10">
      <c r="B10" s="15" t="inlineStr">
        <is>
          <t>2.1 Greenhouse Gas Emissions</t>
        </is>
      </c>
      <c r="C10" s="16" t="inlineStr">
        <is>
          <t>What is the % reduction in annual greenhouse gas emissions against the benchmark?</t>
        </is>
      </c>
      <c r="D10" s="16" t="inlineStr">
        <is>
          <t>% Reduction in GHG Emissions</t>
        </is>
      </c>
      <c r="E10" s="16" t="inlineStr">
        <is>
          <t>0%</t>
        </is>
      </c>
    </row>
    <row r="11">
      <c r="B11" s="15" t="inlineStr">
        <is>
          <t>2.2 Peak Demand</t>
        </is>
      </c>
      <c r="C11" s="16" t="inlineStr">
        <is>
          <t>What is the % reduction in the instantaneous (peak-hour) demand against the benchmark?</t>
        </is>
      </c>
      <c r="D11" s="16" t="inlineStr">
        <is>
          <t>Deemed-to-Satisfy</t>
        </is>
      </c>
      <c r="E11" s="16" t="inlineStr">
        <is>
          <t>No</t>
        </is>
      </c>
    </row>
    <row r="12">
      <c r="B12" s="15" t="inlineStr">
        <is>
          <t>2.2 Peak Demand</t>
        </is>
      </c>
      <c r="C12" s="16" t="inlineStr">
        <is>
          <t>What is the % reduction in the instantaneous (peak-hour) demand against the benchmark?</t>
        </is>
      </c>
      <c r="D12" s="16" t="inlineStr">
        <is>
          <t>Percentage Achieved ?</t>
        </is>
      </c>
      <c r="E12" s="16" t="inlineStr">
        <is>
          <t xml:space="preserve"> Percentage %</t>
        </is>
      </c>
    </row>
    <row r="13">
      <c r="B13" s="15" t="inlineStr">
        <is>
          <t>2.6 Electrification</t>
        </is>
      </c>
      <c r="C13" s="16" t="inlineStr">
        <is>
          <t>Is the development all-electric?</t>
        </is>
      </c>
      <c r="D13" s="16" t="inlineStr">
        <is>
          <t>Criteria Achieved?</t>
        </is>
      </c>
      <c r="E13" s="16" t="inlineStr">
        <is>
          <t>Yes</t>
        </is>
      </c>
    </row>
    <row r="14">
      <c r="B14" s="15" t="inlineStr">
        <is>
          <t>2.7 Energy consumption</t>
        </is>
      </c>
      <c r="C14" s="16" t="inlineStr">
        <is>
          <t>What is the % reduction in annual energy consumption against the benchmark?</t>
        </is>
      </c>
      <c r="D14" s="16" t="inlineStr">
        <is>
          <t>Deemed-to-Satisfy</t>
        </is>
      </c>
      <c r="E14" s="16" t="inlineStr">
        <is>
          <t>Yes</t>
        </is>
      </c>
    </row>
    <row r="15">
      <c r="B15" s="15" t="inlineStr">
        <is>
          <t>2.7 Energy consumption</t>
        </is>
      </c>
      <c r="C15" s="16" t="inlineStr">
        <is>
          <t>What is the % reduction in annual energy consumption against the benchmark?</t>
        </is>
      </c>
      <c r="D15" s="16" t="inlineStr">
        <is>
          <t>Reference Building with Reference Services (BCA only)</t>
        </is>
      </c>
      <c r="E15" s="16" t="inlineStr">
        <is>
          <t>53,824 MJ</t>
        </is>
      </c>
    </row>
    <row r="16">
      <c r="B16" s="15" t="inlineStr">
        <is>
          <t>2.7 Energy consumption</t>
        </is>
      </c>
      <c r="C16" s="16" t="inlineStr">
        <is>
          <t>What is the % reduction in annual energy consumption against the benchmark?</t>
        </is>
      </c>
      <c r="D16" s="16" t="inlineStr">
        <is>
          <t>Proposed Building with Proposed Services (Actual Building)</t>
        </is>
      </c>
      <c r="E16" s="16" t="inlineStr">
        <is>
          <t>53,824 MJ</t>
        </is>
      </c>
    </row>
    <row r="17">
      <c r="B17" s="15" t="inlineStr">
        <is>
          <t>2.7 Energy consumption</t>
        </is>
      </c>
      <c r="C17" s="16" t="inlineStr">
        <is>
          <t>What is the % reduction in annual energy consumption against the benchmark?</t>
        </is>
      </c>
      <c r="D17" s="16" t="inlineStr">
        <is>
          <t>% Reduction in total energy</t>
        </is>
      </c>
      <c r="E17" s="16" t="inlineStr">
        <is>
          <t>0%</t>
        </is>
      </c>
    </row>
    <row r="18">
      <c r="B18" s="15" t="inlineStr">
        <is>
          <t>3.1 Carpark Ventilation</t>
        </is>
      </c>
      <c r="C18" s="16" t="inlineStr">
        <is>
          <t>If you have an enclosed carpark, is it: (a) fully naturally ventilated (no mechanical ventilation system) or (b) 40 car spaces or less with Carbon Monoxide monitoring to control the operation and speed of the ventilation fans?</t>
        </is>
      </c>
      <c r="D18" s="16" t="inlineStr">
        <is>
          <t>Criteria Achieved ?</t>
        </is>
      </c>
      <c r="E18" s="16" t="inlineStr">
        <is>
          <t>Yes</t>
        </is>
      </c>
    </row>
    <row r="19">
      <c r="B19" s="15" t="inlineStr">
        <is>
          <t>3.2 Hot Water - Non-Residential</t>
        </is>
      </c>
      <c r="C19" s="16" t="inlineStr">
        <is>
          <t>What is the % reduction in annual energy consumption (gas and electricity) of the hot water system against the benchmark?</t>
        </is>
      </c>
      <c r="D19" s="16" t="inlineStr">
        <is>
          <t>Deemed-to-Satisfy</t>
        </is>
      </c>
      <c r="E19" s="16" t="inlineStr">
        <is>
          <t>Yes</t>
        </is>
      </c>
    </row>
    <row r="20">
      <c r="B20" s="15" t="inlineStr">
        <is>
          <t>3.2 Hot Water - Non-Residential</t>
        </is>
      </c>
      <c r="C20" s="16" t="inlineStr">
        <is>
          <t>What is the % reduction in annual energy consumption (gas and electricity) of the hot water system against the benchmark?</t>
        </is>
      </c>
      <c r="D20" s="16" t="inlineStr">
        <is>
          <t>Percentage Achieved ?</t>
        </is>
      </c>
      <c r="E20" s="16" t="inlineStr">
        <is>
          <t xml:space="preserve"> Percentage %</t>
        </is>
      </c>
    </row>
    <row r="21">
      <c r="B21" s="15" t="inlineStr">
        <is>
          <t>3.2 Hot Water - Non-Residential</t>
        </is>
      </c>
      <c r="C21" s="16" t="inlineStr">
        <is>
          <t>What is the % reduction in annual energy consumption (gas and electricity) of the hot water system against the benchmark?</t>
        </is>
      </c>
      <c r="D21" s="16" t="inlineStr">
        <is>
          <t>Reference</t>
        </is>
      </c>
      <c r="E21" s="16" t="inlineStr">
        <is>
          <t>36,000 MJ</t>
        </is>
      </c>
    </row>
    <row r="22">
      <c r="B22" s="15" t="inlineStr">
        <is>
          <t>3.2 Hot Water - Non-Residential</t>
        </is>
      </c>
      <c r="C22" s="16" t="inlineStr">
        <is>
          <t>What is the % reduction in annual energy consumption (gas and electricity) of the hot water system against the benchmark?</t>
        </is>
      </c>
      <c r="D22" s="16" t="inlineStr">
        <is>
          <t>Proposed</t>
        </is>
      </c>
      <c r="E22" s="16" t="inlineStr">
        <is>
          <t>36,000 MJ</t>
        </is>
      </c>
    </row>
    <row r="23">
      <c r="B23" s="15" t="inlineStr">
        <is>
          <t>3.2 Hot Water - Non-Residential</t>
        </is>
      </c>
      <c r="C23" s="16" t="inlineStr">
        <is>
          <t>What is the % reduction in annual energy consumption (gas and electricity) of the hot water system against the benchmark?</t>
        </is>
      </c>
      <c r="D23" s="16" t="inlineStr">
        <is>
          <t>Improvement</t>
        </is>
      </c>
      <c r="E23" s="16" t="inlineStr">
        <is>
          <t>0%</t>
        </is>
      </c>
    </row>
    <row r="24">
      <c r="B24" s="15" t="inlineStr">
        <is>
          <t>3.7 Internal Lighting - Non-Residential</t>
        </is>
      </c>
      <c r="C24" s="16" t="inlineStr">
        <is>
          <t>Does the maximum illumination power density (W/m2) in at least 90% of the area of the relevant building class meet the requirements in Table J7D3a of the NCC 2022 Vol 1?</t>
        </is>
      </c>
      <c r="D24" s="16" t="inlineStr">
        <is>
          <t>Criteria Achieved ?</t>
        </is>
      </c>
      <c r="E24" s="16" t="inlineStr">
        <is>
          <t>Yes</t>
        </is>
      </c>
    </row>
    <row r="25">
      <c r="B25" s="15" t="inlineStr">
        <is>
          <t>4.1 Combined Heat and Power (cogeneration / trigeneration)</t>
        </is>
      </c>
      <c r="C25" s="16" t="inlineStr">
        <is>
          <t>What is the reduction in annual greenhouse gas emissions of the CHP system for the class of building?</t>
        </is>
      </c>
      <c r="D25" s="16" t="inlineStr">
        <is>
          <t>Net Electricity Generation</t>
        </is>
      </c>
      <c r="E25" s="16" t="inlineStr">
        <is>
          <t xml:space="preserve"> kWh</t>
        </is>
      </c>
    </row>
    <row r="26">
      <c r="B26" s="15" t="inlineStr">
        <is>
          <t>4.1 Combined Heat and Power (cogeneration / trigeneration)</t>
        </is>
      </c>
      <c r="C26" s="16" t="inlineStr">
        <is>
          <t>What is the reduction in annual greenhouse gas emissions of the CHP system for the class of building?</t>
        </is>
      </c>
      <c r="D26" s="16" t="inlineStr">
        <is>
          <t>Gas Consumption</t>
        </is>
      </c>
      <c r="E26" s="16" t="inlineStr">
        <is>
          <t xml:space="preserve"> MJ</t>
        </is>
      </c>
    </row>
    <row r="27">
      <c r="B27" s="15" t="inlineStr">
        <is>
          <t>4.2 Renewable Energy Systems - Solar</t>
        </is>
      </c>
      <c r="C27" s="16" t="inlineStr">
        <is>
          <t>What % of the estimated energy consumption of the building class it supplies does the solar power system provide?</t>
        </is>
      </c>
      <c r="D27" s="16" t="inlineStr">
        <is>
          <t>Solar Power - Energy Generation per year</t>
        </is>
      </c>
      <c r="E27" s="16" t="inlineStr">
        <is>
          <t>6,059 kWh</t>
        </is>
      </c>
    </row>
    <row r="28">
      <c r="B28" s="15" t="inlineStr">
        <is>
          <t>4.2 Renewable Energy Systems - Solar</t>
        </is>
      </c>
      <c r="C28" s="16" t="inlineStr">
        <is>
          <t>What % of the estimated energy consumption of the building class it supplies does the solar power system provide?</t>
        </is>
      </c>
      <c r="D28" s="16" t="inlineStr">
        <is>
          <t>% of Building's Energy</t>
        </is>
      </c>
      <c r="E28" s="16" t="inlineStr">
        <is>
          <t>30%</t>
        </is>
      </c>
    </row>
    <row r="29">
      <c r="B29" s="15" t="inlineStr">
        <is>
          <t>4.4 Renewable Energy Systems - Other</t>
        </is>
      </c>
      <c r="C29" s="16" t="inlineStr">
        <is>
          <t>Does another form of renewable energy (not solar) provide 5% of the estimated energy consumption of the building class it supplies?</t>
        </is>
      </c>
      <c r="D29" s="16" t="inlineStr">
        <is>
          <t>Other Renewable Energy - Energy Generation per year</t>
        </is>
      </c>
      <c r="E29" s="16" t="inlineStr">
        <is>
          <t>0.0 kWh</t>
        </is>
      </c>
    </row>
    <row r="30">
      <c r="B30" s="15" t="inlineStr">
        <is>
          <t>Project profile (Untitled Table)</t>
        </is>
      </c>
      <c r="C30" s="16" t="inlineStr">
        <is>
          <t>The information you enter here will be used to set up other profiling questions, fields and credits for your project.</t>
        </is>
      </c>
      <c r="D30" s="16" t="inlineStr">
        <is>
          <t>Use the BESS Deem to Satisfy (DtS) method for Non-residential spaces?</t>
        </is>
      </c>
      <c r="E30" s="16" t="inlineStr">
        <is>
          <t>No</t>
        </is>
      </c>
    </row>
    <row r="31">
      <c r="B31" s="15" t="inlineStr">
        <is>
          <t>Project profile (Untitled Table)</t>
        </is>
      </c>
      <c r="C31" s="16" t="inlineStr">
        <is>
          <t>The information you enter here will be used to set up other profiling questions, fields and credits for your project.</t>
        </is>
      </c>
      <c r="D31" s="16" t="inlineStr">
        <is>
          <t>Are you installing any renewable energy system(s) (other than solar photovoltaic)?</t>
        </is>
      </c>
      <c r="E31" s="16" t="inlineStr">
        <is>
          <t>Yes</t>
        </is>
      </c>
    </row>
    <row r="32">
      <c r="B32" s="15" t="inlineStr">
        <is>
          <t>Project profile (Untitled Table)</t>
        </is>
      </c>
      <c r="C32" s="16" t="inlineStr">
        <is>
          <t>The information you enter here will be used to set up other profiling questions, fields and credits for your project.</t>
        </is>
      </c>
      <c r="D32" s="16" t="inlineStr">
        <is>
          <t>Energy Supply</t>
        </is>
      </c>
      <c r="E32" s="16" t="inlineStr">
        <is>
          <t>All-electric</t>
        </is>
      </c>
    </row>
    <row r="33">
      <c r="B33" s="15" t="inlineStr">
        <is>
          <t>Project profile (Untitled Table)</t>
        </is>
      </c>
      <c r="C33" s="16" t="inlineStr">
        <is>
          <t>The information you enter here will be used to set up other profiling questions, fields and credits for your project.</t>
        </is>
      </c>
      <c r="D33" s="16" t="inlineStr">
        <is>
          <t>Are you installing a cogeneration or trigeneration system?</t>
        </is>
      </c>
      <c r="E33" s="16" t="inlineStr"/>
    </row>
    <row r="34">
      <c r="B34" s="15" t="inlineStr">
        <is>
          <t>Solar Photovoltaic system profile (PV 1)</t>
        </is>
      </c>
      <c r="C34" s="16" t="inlineStr">
        <is>
          <t>Enter all solar photovoltaic (PV) systems for your project. For mixed-use buildings enter the building class the solar system is to supply. The results feed into the Renewable Energy Systems - Solar and Solar PV credits.</t>
        </is>
      </c>
      <c r="D34" s="16" t="inlineStr">
        <is>
          <t>System Size (lesser of inverter and panel capacity)</t>
        </is>
      </c>
      <c r="E34" s="16" t="inlineStr">
        <is>
          <t>5.0,unit:kW peak</t>
        </is>
      </c>
    </row>
    <row r="35">
      <c r="B35" s="15" t="inlineStr">
        <is>
          <t>Solar Photovoltaic system profile (PV 1)</t>
        </is>
      </c>
      <c r="C35" s="16" t="inlineStr">
        <is>
          <t>Enter all solar photovoltaic (PV) systems for your project. For mixed-use buildings enter the building class the solar system is to supply. The results feed into the Renewable Energy Systems - Solar and Solar PV credits.</t>
        </is>
      </c>
      <c r="D35" s="16" t="inlineStr">
        <is>
          <t>Orientation (which way is the system facing)?</t>
        </is>
      </c>
      <c r="E35" s="16" t="inlineStr">
        <is>
          <t>North</t>
        </is>
      </c>
    </row>
    <row r="36">
      <c r="B36" s="15" t="inlineStr">
        <is>
          <t>Solar Photovoltaic system profile (PV 1)</t>
        </is>
      </c>
      <c r="C36" s="16" t="inlineStr">
        <is>
          <t>Enter all solar photovoltaic (PV) systems for your project. For mixed-use buildings enter the building class the solar system is to supply. The results feed into the Renewable Energy Systems - Solar and Solar PV credits.</t>
        </is>
      </c>
      <c r="D36" s="16" t="inlineStr">
        <is>
          <t>Inclination (angle from horizontal)</t>
        </is>
      </c>
      <c r="E36" s="16" t="inlineStr">
        <is>
          <t>10.0,unit:Angle (degrees)</t>
        </is>
      </c>
    </row>
    <row r="37">
      <c r="B37" s="15" t="inlineStr">
        <is>
          <t>Non-residential Deemed-to-Satisfy profile (Grouped Table)</t>
        </is>
      </c>
      <c r="C37" s="16" t="inlineStr">
        <is>
          <t>You must satisfy ALL of the criteria to gain points for the following energy credits:Energy 1.1 Thermal Design Non-Residential (37.5%)Energy 2.1 Greenhouse Gas Emissions (100%)Energy 2.2 Peak Demand (100%)Energy 2.7 Energy consumption (100%)Energy 3.2 Hot Water (100%)</t>
        </is>
      </c>
      <c r="D37" s="16" t="inlineStr">
        <is>
          <t>Do all exposed floors and ceilings (forming part of the envelope) demonstrate meeting the required NCC2022 insulation levels (total R-value upwards and downwards)?</t>
        </is>
      </c>
      <c r="E37" s="16" t="inlineStr"/>
    </row>
    <row r="38">
      <c r="B38" s="15" t="inlineStr">
        <is>
          <t>Non-residential Deemed-to-Satisfy profile (Grouped Table)</t>
        </is>
      </c>
      <c r="C38" s="16" t="inlineStr">
        <is>
          <t>You must satisfy ALL of the criteria to gain points for the following energy credits:Energy 1.1 Thermal Design Non-Residential (37.5%)Energy 2.1 Greenhouse Gas Emissions (100%)Energy 2.2 Peak Demand (100%)Energy 2.7 Energy consumption (100%)Energy 3.2 Hot Water (100%)</t>
        </is>
      </c>
      <c r="D38" s="16" t="inlineStr">
        <is>
          <t>Does all wall and glazing demonstrate meeting the required NCC2022 facade calculator (or better than the total allowance)?</t>
        </is>
      </c>
      <c r="E38" s="16" t="inlineStr"/>
    </row>
    <row r="39">
      <c r="B39" s="15" t="inlineStr">
        <is>
          <t>Non-residential Deemed-to-Satisfy profile (Grouped Table)</t>
        </is>
      </c>
      <c r="C39" s="16" t="inlineStr">
        <is>
          <t>You must satisfy ALL of the criteria to gain points for the following energy credits:Energy 1.1 Thermal Design Non-Residential (37.5%)Energy 2.1 Greenhouse Gas Emissions (100%)Energy 2.2 Peak Demand (100%)Energy 2.7 Energy consumption (100%)Energy 3.2 Hot Water (100%)</t>
        </is>
      </c>
      <c r="D39" s="16" t="inlineStr">
        <is>
          <t>Are heating and cooling systems within one Star of the most efficient equivalent capacity unit available, or Coefficient of Performance (CoP) &amp; Energy Efficiency Ratios (EER) not less than 85% of the CoP &amp; EER of the most efficient equivalent capacity unit available?</t>
        </is>
      </c>
      <c r="E39" s="16" t="inlineStr"/>
    </row>
    <row r="40">
      <c r="B40" s="15" t="inlineStr">
        <is>
          <t>Non-residential Deemed-to-Satisfy profile (Grouped Table)</t>
        </is>
      </c>
      <c r="C40" s="16" t="inlineStr">
        <is>
          <t>You must satisfy ALL of the criteria to gain points for the following energy credits:Energy 1.1 Thermal Design Non-Residential (37.5%)Energy 2.1 Greenhouse Gas Emissions (100%)Energy 2.2 Peak Demand (100%)Energy 2.7 Energy consumption (100%)Energy 3.2 Hot Water (100%)</t>
        </is>
      </c>
      <c r="D40" s="16" t="inlineStr">
        <is>
          <t>Are water heating systems within one star of the best available, or 85% or better than the most efficient equivalent capacity unit?</t>
        </is>
      </c>
      <c r="E40" s="16" t="inlineStr"/>
    </row>
    <row r="41">
      <c r="B41" s="15" t="inlineStr">
        <is>
          <t>Non-residential buildings profile (883 Dandenong Rd, Malvern East)</t>
        </is>
      </c>
      <c r="C41"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1" s="16" t="inlineStr">
        <is>
          <t>Heating, Cooling &amp; Comfort VentilationElectricityReference fabric and Reference services</t>
        </is>
      </c>
      <c r="E41" s="16" t="inlineStr">
        <is>
          <t>4,951,unit:kWh</t>
        </is>
      </c>
    </row>
    <row r="42">
      <c r="B42" s="15" t="inlineStr">
        <is>
          <t>Non-residential buildings profile (883 Dandenong Rd, Malvern East)</t>
        </is>
      </c>
      <c r="C42"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2" s="16" t="inlineStr">
        <is>
          <t>Heating, Cooling &amp; Comfort VentilationElectricityProposed fabricand Reference services</t>
        </is>
      </c>
      <c r="E42" s="16" t="inlineStr">
        <is>
          <t>4,951,unit:kWh</t>
        </is>
      </c>
    </row>
    <row r="43">
      <c r="B43" s="15" t="inlineStr">
        <is>
          <t>Non-residential buildings profile (883 Dandenong Rd, Malvern East)</t>
        </is>
      </c>
      <c r="C43"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3" s="16" t="inlineStr">
        <is>
          <t>Heating, Cooling &amp; Comfort VentilationElectricityProposed fabricandProposed services</t>
        </is>
      </c>
      <c r="E43" s="16" t="inlineStr">
        <is>
          <t>4,951,unit:kWh</t>
        </is>
      </c>
    </row>
    <row r="44">
      <c r="B44" s="15" t="inlineStr">
        <is>
          <t>Non-residential buildings profile (883 Dandenong Rd, Malvern East)</t>
        </is>
      </c>
      <c r="C44"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4" s="16" t="inlineStr">
        <is>
          <t>Heating - Gas - Reference fabric and services</t>
        </is>
      </c>
      <c r="E44" s="16" t="inlineStr">
        <is>
          <t>0.0,unit:MJ</t>
        </is>
      </c>
    </row>
    <row r="45">
      <c r="B45" s="15" t="inlineStr">
        <is>
          <t>Non-residential buildings profile (883 Dandenong Rd, Malvern East)</t>
        </is>
      </c>
      <c r="C45"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5" s="16" t="inlineStr">
        <is>
          <t>Heating - Gas -Proposed fabricand Reference services</t>
        </is>
      </c>
      <c r="E45" s="16" t="inlineStr">
        <is>
          <t>0.0,unit:MJ</t>
        </is>
      </c>
    </row>
    <row r="46">
      <c r="B46" s="15" t="inlineStr">
        <is>
          <t>Non-residential buildings profile (883 Dandenong Rd, Malvern East)</t>
        </is>
      </c>
      <c r="C46"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6" s="16" t="inlineStr">
        <is>
          <t>HeatingGasProposed fabric&amp;Proposed services</t>
        </is>
      </c>
      <c r="E46" s="16" t="inlineStr">
        <is>
          <t>0.0,unit:MJ</t>
        </is>
      </c>
    </row>
    <row r="47">
      <c r="B47" s="15" t="inlineStr">
        <is>
          <t>Non-residential buildings profile (883 Dandenong Rd, Malvern East)</t>
        </is>
      </c>
      <c r="C47"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7" s="16" t="inlineStr">
        <is>
          <t>HeatingWoodReference fabric and Reference services</t>
        </is>
      </c>
      <c r="E47" s="16" t="inlineStr">
        <is>
          <t>0.0,unit:MJ</t>
        </is>
      </c>
    </row>
    <row r="48">
      <c r="B48" s="15" t="inlineStr">
        <is>
          <t>Non-residential buildings profile (883 Dandenong Rd, Malvern East)</t>
        </is>
      </c>
      <c r="C48"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8" s="16" t="inlineStr">
        <is>
          <t>HeatingWoodProposed fabricand Reference services</t>
        </is>
      </c>
      <c r="E48" s="16" t="inlineStr">
        <is>
          <t>0.0,unit:MJ</t>
        </is>
      </c>
    </row>
    <row r="49">
      <c r="B49" s="15" t="inlineStr">
        <is>
          <t>Non-residential buildings profile (883 Dandenong Rd, Malvern East)</t>
        </is>
      </c>
      <c r="C49"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9" s="16" t="inlineStr">
        <is>
          <t>HeatingWoodProposed fabricandProposed services</t>
        </is>
      </c>
      <c r="E49" s="16" t="inlineStr">
        <is>
          <t>0.0,unit:MJ</t>
        </is>
      </c>
    </row>
    <row r="50">
      <c r="B50" s="15" t="inlineStr">
        <is>
          <t>Non-residential buildings profile (883 Dandenong Rd, Malvern East)</t>
        </is>
      </c>
      <c r="C50"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0" s="16" t="inlineStr">
        <is>
          <t>Hot WaterElectricity- Reference</t>
        </is>
      </c>
      <c r="E50" s="16" t="inlineStr">
        <is>
          <t>10,000,unit:kWh</t>
        </is>
      </c>
    </row>
    <row r="51">
      <c r="B51" s="15" t="inlineStr">
        <is>
          <t>Non-residential buildings profile (883 Dandenong Rd, Malvern East)</t>
        </is>
      </c>
      <c r="C51"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1" s="16" t="inlineStr">
        <is>
          <t>Hot WaterElectricity-Proposed</t>
        </is>
      </c>
      <c r="E51" s="16" t="inlineStr">
        <is>
          <t>10,000,unit:kWh</t>
        </is>
      </c>
    </row>
    <row r="52">
      <c r="B52" s="15" t="inlineStr">
        <is>
          <t>Non-residential buildings profile (883 Dandenong Rd, Malvern East)</t>
        </is>
      </c>
      <c r="C52"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2" s="16" t="inlineStr">
        <is>
          <t>Hot WaterGas- Reference</t>
        </is>
      </c>
      <c r="E52" s="16" t="inlineStr">
        <is>
          <t>0.0,unit:MJ</t>
        </is>
      </c>
    </row>
    <row r="53">
      <c r="B53" s="15" t="inlineStr">
        <is>
          <t>Non-residential buildings profile (883 Dandenong Rd, Malvern East)</t>
        </is>
      </c>
      <c r="C53"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3" s="16" t="inlineStr">
        <is>
          <t>Hot WaterGas-Proposed</t>
        </is>
      </c>
      <c r="E53" s="16" t="inlineStr">
        <is>
          <t>0.0,unit:MJ</t>
        </is>
      </c>
    </row>
    <row r="54">
      <c r="B54" s="15" t="inlineStr">
        <is>
          <t>Non-residential buildings profile (883 Dandenong Rd, Malvern East)</t>
        </is>
      </c>
      <c r="C54"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4" s="16" t="inlineStr">
        <is>
          <t>LightingElectricity- Reference</t>
        </is>
      </c>
      <c r="E54" s="16" t="inlineStr">
        <is>
          <t>4,967,unit:kWh</t>
        </is>
      </c>
    </row>
    <row r="55">
      <c r="B55" s="15" t="inlineStr">
        <is>
          <t>Non-residential buildings profile (883 Dandenong Rd, Malvern East)</t>
        </is>
      </c>
      <c r="C55"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5" s="16" t="inlineStr">
        <is>
          <t>LightingElectricity-Proposed</t>
        </is>
      </c>
      <c r="E55" s="16" t="inlineStr">
        <is>
          <t>4,967,unit:kWh</t>
        </is>
      </c>
    </row>
    <row r="56">
      <c r="B56" s="15" t="inlineStr">
        <is>
          <t>Non-residential buildings profile (883 Dandenong Rd, Malvern East)</t>
        </is>
      </c>
      <c r="C56"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6" s="16" t="inlineStr">
        <is>
          <t>Peak Thermal Cooling LoadReference</t>
        </is>
      </c>
      <c r="E56" s="16" t="inlineStr">
        <is>
          <t>0.0,unit:kW</t>
        </is>
      </c>
    </row>
    <row r="57">
      <c r="B57" s="15" t="inlineStr">
        <is>
          <t>Non-residential buildings profile (883 Dandenong Rd, Malvern East)</t>
        </is>
      </c>
      <c r="C57"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7" s="16" t="inlineStr">
        <is>
          <t>Peak Thermal Cooling LoadProposed</t>
        </is>
      </c>
      <c r="E57" s="16" t="inlineStr">
        <is>
          <t>0.0,unit:kW</t>
        </is>
      </c>
    </row>
    <row r="58">
      <c r="B58" s="15" t="inlineStr">
        <is>
          <t>1.1 Thermal Performance Rating - Non-Residential</t>
        </is>
      </c>
      <c r="C58" s="16" t="inlineStr">
        <is>
          <t>What is the % reduction in heating and cooling energy consumption against the reference case (NCC2022 Section J)?</t>
        </is>
      </c>
      <c r="D58" s="16" t="inlineStr">
        <is>
          <t>Score</t>
        </is>
      </c>
      <c r="E58" s="16" t="inlineStr">
        <is>
          <t>12%</t>
        </is>
      </c>
    </row>
    <row r="59">
      <c r="B59" s="15" t="inlineStr">
        <is>
          <t>1.1 Thermal Performance Rating - Non-Residential</t>
        </is>
      </c>
      <c r="C59" s="16" t="inlineStr">
        <is>
          <t>What is the % reduction in heating and cooling energy consumption against the reference case (NCC2022 Section J)?</t>
        </is>
      </c>
      <c r="D59" s="16" t="inlineStr">
        <is>
          <t>Weighting</t>
        </is>
      </c>
      <c r="E59" s="16" t="inlineStr">
        <is>
          <t>33.3% weight</t>
        </is>
      </c>
    </row>
    <row r="60">
      <c r="B60" s="15" t="inlineStr">
        <is>
          <t>1.1 Thermal Performance Rating - Non-Residential</t>
        </is>
      </c>
      <c r="C60" s="16" t="inlineStr">
        <is>
          <t>What is the % reduction in heating and cooling energy consumption against the reference case (NCC2022 Section J)?</t>
        </is>
      </c>
      <c r="D60" s="16" t="inlineStr">
        <is>
          <t>Disabled Reason</t>
        </is>
      </c>
      <c r="E60" s="16" t="inlineStr">
        <is>
          <t>None</t>
        </is>
      </c>
    </row>
    <row r="61">
      <c r="B61" s="15" t="inlineStr">
        <is>
          <t>1.1 Thermal Performance Rating - Non-Residential</t>
        </is>
      </c>
      <c r="C61" s="16" t="inlineStr">
        <is>
          <t>What is the % reduction in heating and cooling energy consumption against the reference case (NCC2022 Section J)?</t>
        </is>
      </c>
      <c r="D61" s="16" t="inlineStr">
        <is>
          <t>Scoped Out Reason</t>
        </is>
      </c>
      <c r="E61" s="16" t="inlineStr">
        <is>
          <t>No reason provided. This credit is not scoped out until a reason is provided.</t>
        </is>
      </c>
    </row>
    <row r="62">
      <c r="B62" s="15" t="inlineStr">
        <is>
          <t>1.1 Thermal Performance Rating - Non-Residential</t>
        </is>
      </c>
      <c r="C62" s="16" t="inlineStr">
        <is>
          <t>What is the % reduction in heating and cooling energy consumption against the reference case (NCC2022 Section J)?</t>
        </is>
      </c>
      <c r="D62" s="16" t="inlineStr">
        <is>
          <t>Supporting Evidence</t>
        </is>
      </c>
      <c r="E62" s="16" t="inlineStr">
        <is>
          <t>Required</t>
        </is>
      </c>
    </row>
    <row r="63">
      <c r="B63" s="15" t="inlineStr">
        <is>
          <t>2.1 Greenhouse Gas Emissions</t>
        </is>
      </c>
      <c r="C63" s="16" t="inlineStr">
        <is>
          <t>What is the % reduction in annual greenhouse gas emissions against the benchmark?</t>
        </is>
      </c>
      <c r="D63" s="16" t="inlineStr">
        <is>
          <t>Score</t>
        </is>
      </c>
      <c r="E63" s="16" t="inlineStr">
        <is>
          <t>100%</t>
        </is>
      </c>
    </row>
    <row r="64">
      <c r="B64" s="15" t="inlineStr">
        <is>
          <t>2.1 Greenhouse Gas Emissions</t>
        </is>
      </c>
      <c r="C64" s="16" t="inlineStr">
        <is>
          <t>What is the % reduction in annual greenhouse gas emissions against the benchmark?</t>
        </is>
      </c>
      <c r="D64" s="16" t="inlineStr">
        <is>
          <t>Weighting</t>
        </is>
      </c>
      <c r="E64" s="16" t="inlineStr">
        <is>
          <t>8.3% weight</t>
        </is>
      </c>
    </row>
    <row r="65">
      <c r="B65" s="15" t="inlineStr">
        <is>
          <t>2.1 Greenhouse Gas Emissions</t>
        </is>
      </c>
      <c r="C65" s="16" t="inlineStr">
        <is>
          <t>What is the % reduction in annual greenhouse gas emissions against the benchmark?</t>
        </is>
      </c>
      <c r="D65" s="16" t="inlineStr">
        <is>
          <t>Disabled Reason</t>
        </is>
      </c>
      <c r="E65" s="16" t="inlineStr">
        <is>
          <t>None</t>
        </is>
      </c>
    </row>
    <row r="66">
      <c r="B66" s="15" t="inlineStr">
        <is>
          <t>2.1 Greenhouse Gas Emissions</t>
        </is>
      </c>
      <c r="C66" s="16" t="inlineStr">
        <is>
          <t>What is the % reduction in annual greenhouse gas emissions against the benchmark?</t>
        </is>
      </c>
      <c r="D66" s="16" t="inlineStr">
        <is>
          <t>Scoped Out Reason</t>
        </is>
      </c>
      <c r="E66" s="16" t="inlineStr">
        <is>
          <t>No reason provided. This credit is not scoped out until a reason is provided.</t>
        </is>
      </c>
    </row>
    <row r="67">
      <c r="B67" s="15" t="inlineStr">
        <is>
          <t>2.1 Greenhouse Gas Emissions</t>
        </is>
      </c>
      <c r="C67" s="16" t="inlineStr">
        <is>
          <t>What is the % reduction in annual greenhouse gas emissions against the benchmark?</t>
        </is>
      </c>
      <c r="D67" s="16" t="inlineStr">
        <is>
          <t>Supporting Evidence</t>
        </is>
      </c>
      <c r="E67" s="16" t="inlineStr">
        <is>
          <t>Required</t>
        </is>
      </c>
    </row>
    <row r="68">
      <c r="B68" s="15" t="inlineStr">
        <is>
          <t>2.2 Peak Demand</t>
        </is>
      </c>
      <c r="C68" s="16" t="inlineStr">
        <is>
          <t>What is the % reduction in the instantaneous (peak-hour) demand against the benchmark?</t>
        </is>
      </c>
      <c r="D68" s="16" t="inlineStr">
        <is>
          <t>Score</t>
        </is>
      </c>
      <c r="E68" s="16" t="inlineStr">
        <is>
          <t>0%</t>
        </is>
      </c>
    </row>
    <row r="69">
      <c r="B69" s="15" t="inlineStr">
        <is>
          <t>2.2 Peak Demand</t>
        </is>
      </c>
      <c r="C69" s="16" t="inlineStr">
        <is>
          <t>What is the % reduction in the instantaneous (peak-hour) demand against the benchmark?</t>
        </is>
      </c>
      <c r="D69" s="16" t="inlineStr">
        <is>
          <t>Weighting</t>
        </is>
      </c>
      <c r="E69" s="16" t="inlineStr">
        <is>
          <t>4.2% weight</t>
        </is>
      </c>
    </row>
    <row r="70">
      <c r="B70" s="15" t="inlineStr">
        <is>
          <t>2.2 Peak Demand</t>
        </is>
      </c>
      <c r="C70" s="16" t="inlineStr">
        <is>
          <t>What is the % reduction in the instantaneous (peak-hour) demand against the benchmark?</t>
        </is>
      </c>
      <c r="D70" s="16" t="inlineStr">
        <is>
          <t>Disabled Reason</t>
        </is>
      </c>
      <c r="E70" s="16" t="inlineStr">
        <is>
          <t>None</t>
        </is>
      </c>
    </row>
    <row r="71">
      <c r="B71" s="15" t="inlineStr">
        <is>
          <t>2.2 Peak Demand</t>
        </is>
      </c>
      <c r="C71" s="16" t="inlineStr">
        <is>
          <t>What is the % reduction in the instantaneous (peak-hour) demand against the benchmark?</t>
        </is>
      </c>
      <c r="D71" s="16" t="inlineStr">
        <is>
          <t>Scoped Out Reason</t>
        </is>
      </c>
      <c r="E71" s="16" t="inlineStr">
        <is>
          <t>No reason provided. This credit is not scoped out until a reason is provided.</t>
        </is>
      </c>
    </row>
    <row r="72">
      <c r="B72" s="15" t="inlineStr">
        <is>
          <t>2.2 Peak Demand</t>
        </is>
      </c>
      <c r="C72" s="16" t="inlineStr">
        <is>
          <t>What is the % reduction in the instantaneous (peak-hour) demand against the benchmark?</t>
        </is>
      </c>
      <c r="D72" s="16" t="inlineStr">
        <is>
          <t>Supporting Evidence</t>
        </is>
      </c>
      <c r="E72" s="16" t="inlineStr">
        <is>
          <t>Required</t>
        </is>
      </c>
    </row>
    <row r="73">
      <c r="B73" s="15" t="inlineStr">
        <is>
          <t>2.6 Electrification</t>
        </is>
      </c>
      <c r="C73" s="16" t="inlineStr">
        <is>
          <t>Is the development all-electric?</t>
        </is>
      </c>
      <c r="D73" s="16" t="inlineStr">
        <is>
          <t>Score</t>
        </is>
      </c>
      <c r="E73" s="16" t="inlineStr">
        <is>
          <t>100%</t>
        </is>
      </c>
    </row>
    <row r="74">
      <c r="B74" s="15" t="inlineStr">
        <is>
          <t>2.6 Electrification</t>
        </is>
      </c>
      <c r="C74" s="16" t="inlineStr">
        <is>
          <t>Is the development all-electric?</t>
        </is>
      </c>
      <c r="D74" s="16" t="inlineStr">
        <is>
          <t>Weighting</t>
        </is>
      </c>
      <c r="E74" s="16" t="inlineStr">
        <is>
          <t>12.5% weight</t>
        </is>
      </c>
    </row>
    <row r="75">
      <c r="B75" s="15" t="inlineStr">
        <is>
          <t>2.6 Electrification</t>
        </is>
      </c>
      <c r="C75" s="16" t="inlineStr">
        <is>
          <t>Is the development all-electric?</t>
        </is>
      </c>
      <c r="D75" s="16" t="inlineStr">
        <is>
          <t>Disabled Reason</t>
        </is>
      </c>
      <c r="E75" s="16" t="inlineStr">
        <is>
          <t>None</t>
        </is>
      </c>
    </row>
    <row r="76">
      <c r="B76" s="15" t="inlineStr">
        <is>
          <t>2.6 Electrification</t>
        </is>
      </c>
      <c r="C76" s="16" t="inlineStr">
        <is>
          <t>Is the development all-electric?</t>
        </is>
      </c>
      <c r="D76" s="16" t="inlineStr">
        <is>
          <t>Scoped Out Reason</t>
        </is>
      </c>
      <c r="E76" s="16" t="inlineStr">
        <is>
          <t>No reason provided. This credit is not scoped out until a reason is provided.</t>
        </is>
      </c>
    </row>
    <row r="77">
      <c r="B77" s="15" t="inlineStr">
        <is>
          <t>2.6 Electrification</t>
        </is>
      </c>
      <c r="C77" s="16" t="inlineStr">
        <is>
          <t>Is the development all-electric?</t>
        </is>
      </c>
      <c r="D77" s="16" t="inlineStr">
        <is>
          <t>Supporting Evidence</t>
        </is>
      </c>
      <c r="E77" s="16" t="inlineStr">
        <is>
          <t>Required</t>
        </is>
      </c>
    </row>
    <row r="78">
      <c r="B78" s="15" t="inlineStr">
        <is>
          <t>2.7 Energy consumption</t>
        </is>
      </c>
      <c r="C78" s="16" t="inlineStr">
        <is>
          <t>What is the % reduction in annual energy consumption against the benchmark?</t>
        </is>
      </c>
      <c r="D78" s="16" t="inlineStr">
        <is>
          <t>Score</t>
        </is>
      </c>
      <c r="E78" s="16" t="inlineStr">
        <is>
          <t>100%</t>
        </is>
      </c>
    </row>
    <row r="79">
      <c r="B79" s="15" t="inlineStr">
        <is>
          <t>2.7 Energy consumption</t>
        </is>
      </c>
      <c r="C79" s="16" t="inlineStr">
        <is>
          <t>What is the % reduction in annual energy consumption against the benchmark?</t>
        </is>
      </c>
      <c r="D79" s="16" t="inlineStr">
        <is>
          <t>Weighting</t>
        </is>
      </c>
      <c r="E79" s="16" t="inlineStr">
        <is>
          <t>16.7% weight</t>
        </is>
      </c>
    </row>
    <row r="80">
      <c r="B80" s="15" t="inlineStr">
        <is>
          <t>2.7 Energy consumption</t>
        </is>
      </c>
      <c r="C80" s="16" t="inlineStr">
        <is>
          <t>What is the % reduction in annual energy consumption against the benchmark?</t>
        </is>
      </c>
      <c r="D80" s="16" t="inlineStr">
        <is>
          <t>Disabled Reason</t>
        </is>
      </c>
      <c r="E80" s="16" t="inlineStr">
        <is>
          <t>None</t>
        </is>
      </c>
    </row>
    <row r="81">
      <c r="B81" s="15" t="inlineStr">
        <is>
          <t>2.7 Energy consumption</t>
        </is>
      </c>
      <c r="C81" s="16" t="inlineStr">
        <is>
          <t>What is the % reduction in annual energy consumption against the benchmark?</t>
        </is>
      </c>
      <c r="D81" s="16" t="inlineStr">
        <is>
          <t>Scoped Out Reason</t>
        </is>
      </c>
      <c r="E81" s="16" t="inlineStr">
        <is>
          <t>No reason provided. This credit is not scoped out until a reason is provided.</t>
        </is>
      </c>
    </row>
    <row r="82">
      <c r="B82" s="15" t="inlineStr">
        <is>
          <t>2.7 Energy consumption</t>
        </is>
      </c>
      <c r="C82" s="16" t="inlineStr">
        <is>
          <t>What is the % reduction in annual energy consumption against the benchmark?</t>
        </is>
      </c>
      <c r="D82" s="16" t="inlineStr">
        <is>
          <t>Supporting Evidence</t>
        </is>
      </c>
      <c r="E82" s="16" t="inlineStr">
        <is>
          <t>Required</t>
        </is>
      </c>
    </row>
    <row r="83">
      <c r="B83" s="15" t="inlineStr">
        <is>
          <t>3.1 Carpark Ventilation</t>
        </is>
      </c>
      <c r="C83" s="16" t="inlineStr">
        <is>
          <t>If you have an enclosed carpark, is it: (a) fully naturally ventilated (no mechanical ventilation system) or (b) 40 car spaces or less with Carbon Monoxide monitoring to control the operation and speed of the ventilation fans?</t>
        </is>
      </c>
      <c r="D83" s="16" t="inlineStr">
        <is>
          <t>Score</t>
        </is>
      </c>
      <c r="E83" s="16" t="inlineStr">
        <is>
          <t>100%</t>
        </is>
      </c>
    </row>
    <row r="84">
      <c r="B84" s="15" t="inlineStr">
        <is>
          <t>3.1 Carpark Ventilation</t>
        </is>
      </c>
      <c r="C84" s="16" t="inlineStr">
        <is>
          <t>If you have an enclosed carpark, is it: (a) fully naturally ventilated (no mechanical ventilation system) or (b) 40 car spaces or less with Carbon Monoxide monitoring to control the operation and speed of the ventilation fans?</t>
        </is>
      </c>
      <c r="D84" s="16" t="inlineStr">
        <is>
          <t>Weighting</t>
        </is>
      </c>
      <c r="E84" s="16" t="inlineStr">
        <is>
          <t>4.2% weight</t>
        </is>
      </c>
    </row>
    <row r="85">
      <c r="B85" s="15" t="inlineStr">
        <is>
          <t>3.1 Carpark Ventilation</t>
        </is>
      </c>
      <c r="C85" s="16" t="inlineStr">
        <is>
          <t>If you have an enclosed carpark, is it: (a) fully naturally ventilated (no mechanical ventilation system) or (b) 40 car spaces or less with Carbon Monoxide monitoring to control the operation and speed of the ventilation fans?</t>
        </is>
      </c>
      <c r="D85" s="16" t="inlineStr">
        <is>
          <t>Disabled Reason</t>
        </is>
      </c>
      <c r="E85" s="16" t="inlineStr">
        <is>
          <t>None</t>
        </is>
      </c>
    </row>
    <row r="86">
      <c r="B86" s="15" t="inlineStr">
        <is>
          <t>3.1 Carpark Ventilation</t>
        </is>
      </c>
      <c r="C86" s="16" t="inlineStr">
        <is>
          <t>If you have an enclosed carpark, is it: (a) fully naturally ventilated (no mechanical ventilation system) or (b) 40 car spaces or less with Carbon Monoxide monitoring to control the operation and speed of the ventilation fans?</t>
        </is>
      </c>
      <c r="D86" s="16" t="inlineStr">
        <is>
          <t>Scoped Out Reason</t>
        </is>
      </c>
      <c r="E86" s="16" t="inlineStr">
        <is>
          <t>No reason provided. This credit is not scoped out until a reason is provided.</t>
        </is>
      </c>
    </row>
    <row r="87">
      <c r="B87" s="15" t="inlineStr">
        <is>
          <t>3.1 Carpark Ventilation</t>
        </is>
      </c>
      <c r="C87" s="16" t="inlineStr">
        <is>
          <t>If you have an enclosed carpark, is it: (a) fully naturally ventilated (no mechanical ventilation system) or (b) 40 car spaces or less with Carbon Monoxide monitoring to control the operation and speed of the ventilation fans?</t>
        </is>
      </c>
      <c r="D87" s="16" t="inlineStr">
        <is>
          <t>Supporting Evidence</t>
        </is>
      </c>
      <c r="E87" s="16" t="inlineStr">
        <is>
          <t>Required</t>
        </is>
      </c>
    </row>
    <row r="88">
      <c r="B88" s="15" t="inlineStr">
        <is>
          <t>3.2 Hot Water - Non-Residential</t>
        </is>
      </c>
      <c r="C88" s="16" t="inlineStr">
        <is>
          <t>What is the % reduction in annual energy consumption (gas and electricity) of the hot water system against the benchmark?</t>
        </is>
      </c>
      <c r="D88" s="16" t="inlineStr">
        <is>
          <t>Score</t>
        </is>
      </c>
      <c r="E88" s="16" t="inlineStr">
        <is>
          <t>100%</t>
        </is>
      </c>
    </row>
    <row r="89">
      <c r="B89" s="15" t="inlineStr">
        <is>
          <t>3.2 Hot Water - Non-Residential</t>
        </is>
      </c>
      <c r="C89" s="16" t="inlineStr">
        <is>
          <t>What is the % reduction in annual energy consumption (gas and electricity) of the hot water system against the benchmark?</t>
        </is>
      </c>
      <c r="D89" s="16" t="inlineStr">
        <is>
          <t>Weighting</t>
        </is>
      </c>
      <c r="E89" s="16" t="inlineStr">
        <is>
          <t>4.2% weight</t>
        </is>
      </c>
    </row>
    <row r="90">
      <c r="B90" s="15" t="inlineStr">
        <is>
          <t>3.2 Hot Water - Non-Residential</t>
        </is>
      </c>
      <c r="C90" s="16" t="inlineStr">
        <is>
          <t>What is the % reduction in annual energy consumption (gas and electricity) of the hot water system against the benchmark?</t>
        </is>
      </c>
      <c r="D90" s="16" t="inlineStr">
        <is>
          <t>Disabled Reason</t>
        </is>
      </c>
      <c r="E90" s="16" t="inlineStr">
        <is>
          <t>None</t>
        </is>
      </c>
    </row>
    <row r="91">
      <c r="B91" s="15" t="inlineStr">
        <is>
          <t>3.2 Hot Water - Non-Residential</t>
        </is>
      </c>
      <c r="C91" s="16" t="inlineStr">
        <is>
          <t>What is the % reduction in annual energy consumption (gas and electricity) of the hot water system against the benchmark?</t>
        </is>
      </c>
      <c r="D91" s="16" t="inlineStr">
        <is>
          <t>Scoped Out Reason</t>
        </is>
      </c>
      <c r="E91" s="16" t="inlineStr">
        <is>
          <t>No reason provided. This credit is not scoped out until a reason is provided.</t>
        </is>
      </c>
    </row>
    <row r="92">
      <c r="B92" s="15" t="inlineStr">
        <is>
          <t>3.2 Hot Water - Non-Residential</t>
        </is>
      </c>
      <c r="C92" s="16" t="inlineStr">
        <is>
          <t>What is the % reduction in annual energy consumption (gas and electricity) of the hot water system against the benchmark?</t>
        </is>
      </c>
      <c r="D92" s="16" t="inlineStr">
        <is>
          <t>Supporting Evidence</t>
        </is>
      </c>
      <c r="E92" s="16" t="inlineStr">
        <is>
          <t>Required</t>
        </is>
      </c>
    </row>
    <row r="93">
      <c r="B93" s="15" t="inlineStr">
        <is>
          <t>3.7 Internal Lighting - Non-Residential</t>
        </is>
      </c>
      <c r="C93" s="16" t="inlineStr">
        <is>
          <t>Does the maximum illumination power density (W/m2) in at least 90% of the area of the relevant building class meet the requirements in Table J7D3a of the NCC 2022 Vol 1?</t>
        </is>
      </c>
      <c r="D93" s="16" t="inlineStr">
        <is>
          <t>Score</t>
        </is>
      </c>
      <c r="E93" s="16" t="inlineStr">
        <is>
          <t>100%</t>
        </is>
      </c>
    </row>
    <row r="94">
      <c r="B94" s="15" t="inlineStr">
        <is>
          <t>3.7 Internal Lighting - Non-Residential</t>
        </is>
      </c>
      <c r="C94" s="16" t="inlineStr">
        <is>
          <t>Does the maximum illumination power density (W/m2) in at least 90% of the area of the relevant building class meet the requirements in Table J7D3a of the NCC 2022 Vol 1?</t>
        </is>
      </c>
      <c r="D94" s="16" t="inlineStr">
        <is>
          <t>Weighting</t>
        </is>
      </c>
      <c r="E94" s="16" t="inlineStr">
        <is>
          <t>8.3% weight</t>
        </is>
      </c>
    </row>
    <row r="95">
      <c r="B95" s="15" t="inlineStr">
        <is>
          <t>3.7 Internal Lighting - Non-Residential</t>
        </is>
      </c>
      <c r="C95" s="16" t="inlineStr">
        <is>
          <t>Does the maximum illumination power density (W/m2) in at least 90% of the area of the relevant building class meet the requirements in Table J7D3a of the NCC 2022 Vol 1?</t>
        </is>
      </c>
      <c r="D95" s="16" t="inlineStr">
        <is>
          <t>Disabled Reason</t>
        </is>
      </c>
      <c r="E95" s="16" t="inlineStr">
        <is>
          <t>None</t>
        </is>
      </c>
    </row>
    <row r="96">
      <c r="B96" s="15" t="inlineStr">
        <is>
          <t>3.7 Internal Lighting - Non-Residential</t>
        </is>
      </c>
      <c r="C96" s="16" t="inlineStr">
        <is>
          <t>Does the maximum illumination power density (W/m2) in at least 90% of the area of the relevant building class meet the requirements in Table J7D3a of the NCC 2022 Vol 1?</t>
        </is>
      </c>
      <c r="D96" s="16" t="inlineStr">
        <is>
          <t>Scoped Out Reason</t>
        </is>
      </c>
      <c r="E96" s="16" t="inlineStr">
        <is>
          <t>No reason provided. This credit is not scoped out until a reason is provided.</t>
        </is>
      </c>
    </row>
    <row r="97">
      <c r="B97" s="15" t="inlineStr">
        <is>
          <t>3.7 Internal Lighting - Non-Residential</t>
        </is>
      </c>
      <c r="C97" s="16" t="inlineStr">
        <is>
          <t>Does the maximum illumination power density (W/m2) in at least 90% of the area of the relevant building class meet the requirements in Table J7D3a of the NCC 2022 Vol 1?</t>
        </is>
      </c>
      <c r="D97" s="16" t="inlineStr">
        <is>
          <t>Supporting Evidence</t>
        </is>
      </c>
      <c r="E97" s="16" t="inlineStr">
        <is>
          <t>Required</t>
        </is>
      </c>
    </row>
    <row r="98">
      <c r="B98" s="15" t="inlineStr">
        <is>
          <t>4.1 Combined Heat and Power (cogeneration / trigeneration)</t>
        </is>
      </c>
      <c r="C98" s="16" t="inlineStr">
        <is>
          <t>What is the reduction in annual greenhouse gas emissions of the CHP system for the class of building?</t>
        </is>
      </c>
      <c r="D98" s="16" t="inlineStr">
        <is>
          <t>Score</t>
        </is>
      </c>
      <c r="E98" s="16" t="inlineStr">
        <is>
          <t>0%</t>
        </is>
      </c>
    </row>
    <row r="99">
      <c r="B99" s="15" t="inlineStr">
        <is>
          <t>4.1 Combined Heat and Power (cogeneration / trigeneration)</t>
        </is>
      </c>
      <c r="C99" s="16" t="inlineStr">
        <is>
          <t>What is the reduction in annual greenhouse gas emissions of the CHP system for the class of building?</t>
        </is>
      </c>
      <c r="D99" s="16" t="inlineStr">
        <is>
          <t>Weighting</t>
        </is>
      </c>
      <c r="E99" s="16" t="inlineStr">
        <is>
          <t>Scoped Out</t>
        </is>
      </c>
    </row>
    <row r="100">
      <c r="B100" s="15" t="inlineStr">
        <is>
          <t>4.1 Combined Heat and Power (cogeneration / trigeneration)</t>
        </is>
      </c>
      <c r="C100" s="16" t="inlineStr">
        <is>
          <t>What is the reduction in annual greenhouse gas emissions of the CHP system for the class of building?</t>
        </is>
      </c>
      <c r="D100" s="16" t="inlineStr">
        <is>
          <t>Disabled Reason</t>
        </is>
      </c>
      <c r="E100" s="16" t="inlineStr">
        <is>
          <t>None</t>
        </is>
      </c>
    </row>
    <row r="101">
      <c r="B101" s="15" t="inlineStr">
        <is>
          <t>4.1 Combined Heat and Power (cogeneration / trigeneration)</t>
        </is>
      </c>
      <c r="C101" s="16" t="inlineStr">
        <is>
          <t>What is the reduction in annual greenhouse gas emissions of the CHP system for the class of building?</t>
        </is>
      </c>
      <c r="D101" s="16" t="inlineStr">
        <is>
          <t>Scoped Out Reason</t>
        </is>
      </c>
      <c r="E101" s="16" t="inlineStr">
        <is>
          <t>No cogeneration or trigeneration system in use.</t>
        </is>
      </c>
    </row>
    <row r="102">
      <c r="B102" s="15" t="inlineStr">
        <is>
          <t>4.1 Combined Heat and Power (cogeneration / trigeneration)</t>
        </is>
      </c>
      <c r="C102" s="16" t="inlineStr">
        <is>
          <t>What is the reduction in annual greenhouse gas emissions of the CHP system for the class of building?</t>
        </is>
      </c>
      <c r="D102" s="16" t="inlineStr">
        <is>
          <t>Supporting Evidence</t>
        </is>
      </c>
      <c r="E102" s="16" t="inlineStr">
        <is>
          <t>Required</t>
        </is>
      </c>
    </row>
    <row r="103">
      <c r="B103" s="15" t="inlineStr">
        <is>
          <t>4.2 Renewable Energy Systems - Solar</t>
        </is>
      </c>
      <c r="C103" s="16" t="inlineStr">
        <is>
          <t>What % of the estimated energy consumption of the building class it supplies does the solar power system provide?</t>
        </is>
      </c>
      <c r="D103" s="16" t="inlineStr">
        <is>
          <t>Score</t>
        </is>
      </c>
      <c r="E103" s="16" t="inlineStr">
        <is>
          <t>100%</t>
        </is>
      </c>
    </row>
    <row r="104">
      <c r="B104" s="15" t="inlineStr">
        <is>
          <t>4.2 Renewable Energy Systems - Solar</t>
        </is>
      </c>
      <c r="C104" s="16" t="inlineStr">
        <is>
          <t>What % of the estimated energy consumption of the building class it supplies does the solar power system provide?</t>
        </is>
      </c>
      <c r="D104" s="16" t="inlineStr">
        <is>
          <t>Weighting</t>
        </is>
      </c>
      <c r="E104" s="16" t="inlineStr">
        <is>
          <t>4.2% weight</t>
        </is>
      </c>
    </row>
    <row r="105">
      <c r="B105" s="15" t="inlineStr">
        <is>
          <t>4.2 Renewable Energy Systems - Solar</t>
        </is>
      </c>
      <c r="C105" s="16" t="inlineStr">
        <is>
          <t>What % of the estimated energy consumption of the building class it supplies does the solar power system provide?</t>
        </is>
      </c>
      <c r="D105" s="16" t="inlineStr">
        <is>
          <t>Disabled Reason</t>
        </is>
      </c>
      <c r="E105" s="16" t="inlineStr">
        <is>
          <t>None</t>
        </is>
      </c>
    </row>
    <row r="106">
      <c r="B106" s="15" t="inlineStr">
        <is>
          <t>4.2 Renewable Energy Systems - Solar</t>
        </is>
      </c>
      <c r="C106" s="16" t="inlineStr">
        <is>
          <t>What % of the estimated energy consumption of the building class it supplies does the solar power system provide?</t>
        </is>
      </c>
      <c r="D106" s="16" t="inlineStr">
        <is>
          <t>Scoped Out Reason</t>
        </is>
      </c>
      <c r="E106" s="16" t="inlineStr">
        <is>
          <t>No reason provided. This credit is not scoped out until a reason is provided.</t>
        </is>
      </c>
    </row>
    <row r="107">
      <c r="B107" s="15" t="inlineStr">
        <is>
          <t>4.2 Renewable Energy Systems - Solar</t>
        </is>
      </c>
      <c r="C107" s="16" t="inlineStr">
        <is>
          <t>What % of the estimated energy consumption of the building class it supplies does the solar power system provide?</t>
        </is>
      </c>
      <c r="D107" s="16" t="inlineStr">
        <is>
          <t>Supporting Evidence</t>
        </is>
      </c>
      <c r="E107" s="16" t="inlineStr">
        <is>
          <t>Required</t>
        </is>
      </c>
    </row>
    <row r="108">
      <c r="B108" s="15" t="inlineStr">
        <is>
          <t>4.4 Renewable Energy Systems - Other</t>
        </is>
      </c>
      <c r="C108" s="16" t="inlineStr">
        <is>
          <t>Does another form of renewable energy (not solar) provide 5% of the estimated energy consumption of the building class it supplies?</t>
        </is>
      </c>
      <c r="D108" s="16" t="inlineStr">
        <is>
          <t>Score</t>
        </is>
      </c>
      <c r="E108" s="16" t="inlineStr">
        <is>
          <t>0%</t>
        </is>
      </c>
    </row>
    <row r="109">
      <c r="B109" s="15" t="inlineStr">
        <is>
          <t>4.4 Renewable Energy Systems - Other</t>
        </is>
      </c>
      <c r="C109" s="16" t="inlineStr">
        <is>
          <t>Does another form of renewable energy (not solar) provide 5% of the estimated energy consumption of the building class it supplies?</t>
        </is>
      </c>
      <c r="D109" s="16" t="inlineStr">
        <is>
          <t>Weighting</t>
        </is>
      </c>
      <c r="E109" s="16" t="inlineStr">
        <is>
          <t>4.2% weight</t>
        </is>
      </c>
    </row>
    <row r="110">
      <c r="B110" s="15" t="inlineStr">
        <is>
          <t>4.4 Renewable Energy Systems - Other</t>
        </is>
      </c>
      <c r="C110" s="16" t="inlineStr">
        <is>
          <t>Does another form of renewable energy (not solar) provide 5% of the estimated energy consumption of the building class it supplies?</t>
        </is>
      </c>
      <c r="D110" s="16" t="inlineStr">
        <is>
          <t>Disabled Reason</t>
        </is>
      </c>
      <c r="E110" s="16" t="inlineStr">
        <is>
          <t>None</t>
        </is>
      </c>
    </row>
    <row r="111">
      <c r="B111" s="15" t="inlineStr">
        <is>
          <t>4.4 Renewable Energy Systems - Other</t>
        </is>
      </c>
      <c r="C111" s="16" t="inlineStr">
        <is>
          <t>Does another form of renewable energy (not solar) provide 5% of the estimated energy consumption of the building class it supplies?</t>
        </is>
      </c>
      <c r="D111" s="16" t="inlineStr">
        <is>
          <t>Scoped Out Reason</t>
        </is>
      </c>
      <c r="E111" s="16" t="inlineStr">
        <is>
          <t>No reason provided. This credit is not scoped out until a reason is provided.</t>
        </is>
      </c>
    </row>
    <row r="112">
      <c r="B112" s="17" t="inlineStr">
        <is>
          <t>4.4 Renewable Energy Systems - Other</t>
        </is>
      </c>
      <c r="C112" s="18" t="inlineStr">
        <is>
          <t>Does another form of renewable energy (not solar) provide 5% of the estimated energy consumption of the building class it supplies?</t>
        </is>
      </c>
      <c r="D112" s="18" t="inlineStr">
        <is>
          <t>Supporting Evidence</t>
        </is>
      </c>
      <c r="E112" s="18" t="inlineStr">
        <is>
          <t>Required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36"/>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1.4 Daylight Access - Non-Residential</t>
        </is>
      </c>
      <c r="C3" s="16" t="inlineStr">
        <is>
          <t>What % of the nominated floor area has at least 2% daylight factor?</t>
        </is>
      </c>
      <c r="D3" s="16" t="inlineStr">
        <is>
          <t>Percentage Achieved?</t>
        </is>
      </c>
      <c r="E3" s="16" t="inlineStr">
        <is>
          <t>33%</t>
        </is>
      </c>
    </row>
    <row r="4">
      <c r="B4" s="15" t="inlineStr">
        <is>
          <t>3.5 Thermal Comfort - Ceiling Fans - Non-Residential</t>
        </is>
      </c>
      <c r="C4" s="16" t="inlineStr">
        <is>
          <t>What percentage of regular use areas in tenancies have ceiling fans?</t>
        </is>
      </c>
      <c r="D4" s="16" t="inlineStr">
        <is>
          <t>Percentage Achieved?</t>
        </is>
      </c>
      <c r="E4" s="16" t="inlineStr">
        <is>
          <t>0%</t>
        </is>
      </c>
    </row>
    <row r="5">
      <c r="B5" s="15" t="inlineStr">
        <is>
          <t>2.3 Ventilation - Non-Residential</t>
        </is>
      </c>
      <c r="C5" s="16" t="inlineStr">
        <is>
          <t>What % of the regular use areas are effectively naturally ventilated?</t>
        </is>
      </c>
      <c r="D5" s="16" t="inlineStr">
        <is>
          <t>Percentage Achieved?</t>
        </is>
      </c>
      <c r="E5" s="16" t="inlineStr">
        <is>
          <t>100%</t>
        </is>
      </c>
    </row>
    <row r="6">
      <c r="B6" s="15" t="inlineStr">
        <is>
          <t>2.3 Ventilation - Non-Residential</t>
        </is>
      </c>
      <c r="C6" s="16" t="inlineStr">
        <is>
          <t>What increase in outdoor air is available to regular use areas compared to the minimum required by AS 1668.2:2012?</t>
        </is>
      </c>
      <c r="D6" s="16" t="inlineStr">
        <is>
          <t>Percentage Achieved?</t>
        </is>
      </c>
      <c r="E6" s="16" t="inlineStr">
        <is>
          <t>0%</t>
        </is>
      </c>
    </row>
    <row r="7">
      <c r="B7" s="15" t="inlineStr">
        <is>
          <t>2.3 Ventilation - Non-Residential</t>
        </is>
      </c>
      <c r="C7" s="16" t="inlineStr">
        <is>
          <t>What CO2 concentrations are the ventilation systems designed to achieve, to monitor and to maintain?</t>
        </is>
      </c>
      <c r="D7" s="16" t="inlineStr">
        <is>
          <t>Value</t>
        </is>
      </c>
      <c r="E7" s="16" t="inlineStr">
        <is>
          <t xml:space="preserve"> ppm</t>
        </is>
      </c>
    </row>
    <row r="8">
      <c r="B8" s="15" t="inlineStr">
        <is>
          <t>3.4 Thermal comfort - Shading - Non-Residential</t>
        </is>
      </c>
      <c r="C8" s="16" t="inlineStr">
        <is>
          <t>What percentage of east, north and west glazing to regular use areas is effectively shaded?</t>
        </is>
      </c>
      <c r="D8" s="16" t="inlineStr">
        <is>
          <t>Percentage Achieved?</t>
        </is>
      </c>
      <c r="E8" s="16" t="inlineStr">
        <is>
          <t>100%</t>
        </is>
      </c>
    </row>
    <row r="9">
      <c r="B9" s="15" t="inlineStr">
        <is>
          <t>4.1 Air Quality - Non-Residential</t>
        </is>
      </c>
      <c r="C9" s="16" t="inlineStr">
        <is>
          <t>Do all paints, sealants and adhesives meet the maximum total indoor pollutant emission limits?</t>
        </is>
      </c>
      <c r="D9" s="16" t="inlineStr">
        <is>
          <t>Criteria Achieved ?</t>
        </is>
      </c>
      <c r="E9" s="16" t="inlineStr">
        <is>
          <t>Yes</t>
        </is>
      </c>
    </row>
    <row r="10">
      <c r="B10" s="15" t="inlineStr">
        <is>
          <t>4.1 Air Quality - Non-Residential</t>
        </is>
      </c>
      <c r="C10" s="16" t="inlineStr">
        <is>
          <t>Does all carpet meet the maximum total indoor pollutant emission limits?</t>
        </is>
      </c>
      <c r="D10" s="16" t="inlineStr">
        <is>
          <t>Criteria Achieved ?</t>
        </is>
      </c>
      <c r="E10" s="16" t="inlineStr">
        <is>
          <t>Yes</t>
        </is>
      </c>
    </row>
    <row r="11">
      <c r="B11" s="15" t="inlineStr">
        <is>
          <t>4.1 Air Quality - Non-Residential</t>
        </is>
      </c>
      <c r="C11" s="16" t="inlineStr">
        <is>
          <t>Does all engineered wood meet the maximum total indoor pollutant emission limits?</t>
        </is>
      </c>
      <c r="D11" s="16" t="inlineStr">
        <is>
          <t>Criteria Achieved ?</t>
        </is>
      </c>
      <c r="E11" s="16" t="inlineStr">
        <is>
          <t>Yes</t>
        </is>
      </c>
    </row>
    <row r="12">
      <c r="B12" s="15" t="inlineStr">
        <is>
          <t>1.4 Daylight Access - Non-Residential</t>
        </is>
      </c>
      <c r="C12" s="16" t="inlineStr">
        <is>
          <t>What % of the nominated floor area has at least 2% daylight factor?</t>
        </is>
      </c>
      <c r="D12" s="16" t="inlineStr">
        <is>
          <t>Score</t>
        </is>
      </c>
      <c r="E12" s="16" t="inlineStr">
        <is>
          <t>33%</t>
        </is>
      </c>
    </row>
    <row r="13">
      <c r="B13" s="15" t="inlineStr">
        <is>
          <t>1.4 Daylight Access - Non-Residential</t>
        </is>
      </c>
      <c r="C13" s="16" t="inlineStr">
        <is>
          <t>What % of the nominated floor area has at least 2% daylight factor?</t>
        </is>
      </c>
      <c r="D13" s="16" t="inlineStr">
        <is>
          <t>Weighting</t>
        </is>
      </c>
      <c r="E13" s="16" t="inlineStr">
        <is>
          <t>35.3% weight</t>
        </is>
      </c>
    </row>
    <row r="14">
      <c r="B14" s="15" t="inlineStr">
        <is>
          <t>1.4 Daylight Access - Non-Residential</t>
        </is>
      </c>
      <c r="C14" s="16" t="inlineStr">
        <is>
          <t>What % of the nominated floor area has at least 2% daylight factor?</t>
        </is>
      </c>
      <c r="D14" s="16" t="inlineStr">
        <is>
          <t>Disabled Reason</t>
        </is>
      </c>
      <c r="E14" s="16" t="inlineStr">
        <is>
          <t>None</t>
        </is>
      </c>
    </row>
    <row r="15">
      <c r="B15" s="15" t="inlineStr">
        <is>
          <t>1.4 Daylight Access - Non-Residential</t>
        </is>
      </c>
      <c r="C15" s="16" t="inlineStr">
        <is>
          <t>What % of the nominated floor area has at least 2% daylight factor?</t>
        </is>
      </c>
      <c r="D15" s="16" t="inlineStr">
        <is>
          <t>Scoped Out Reason</t>
        </is>
      </c>
      <c r="E15" s="16" t="inlineStr">
        <is>
          <t>No reason provided. This credit is not scoped out until a reason is provided.</t>
        </is>
      </c>
    </row>
    <row r="16">
      <c r="B16" s="15" t="inlineStr">
        <is>
          <t>1.4 Daylight Access - Non-Residential</t>
        </is>
      </c>
      <c r="C16" s="16" t="inlineStr">
        <is>
          <t>What % of the nominated floor area has at least 2% daylight factor?</t>
        </is>
      </c>
      <c r="D16" s="16" t="inlineStr">
        <is>
          <t>Supporting Evidence</t>
        </is>
      </c>
      <c r="E16" s="16" t="inlineStr">
        <is>
          <t>Required</t>
        </is>
      </c>
    </row>
    <row r="17">
      <c r="B17" s="15" t="inlineStr">
        <is>
          <t>2.3 Ventilation - Non-Residential</t>
        </is>
      </c>
      <c r="C17" s="16" t="inlineStr"/>
      <c r="D17" s="16" t="inlineStr">
        <is>
          <t>Score</t>
        </is>
      </c>
      <c r="E17" s="16" t="inlineStr">
        <is>
          <t>50%</t>
        </is>
      </c>
    </row>
    <row r="18">
      <c r="B18" s="15" t="inlineStr">
        <is>
          <t>2.3 Ventilation - Non-Residential</t>
        </is>
      </c>
      <c r="C18" s="16" t="inlineStr"/>
      <c r="D18" s="16" t="inlineStr">
        <is>
          <t>Weighting</t>
        </is>
      </c>
      <c r="E18" s="16" t="inlineStr">
        <is>
          <t>35.3% weight</t>
        </is>
      </c>
    </row>
    <row r="19">
      <c r="B19" s="15" t="inlineStr">
        <is>
          <t>2.3 Ventilation - Non-Residential</t>
        </is>
      </c>
      <c r="C19" s="16" t="inlineStr"/>
      <c r="D19" s="16" t="inlineStr">
        <is>
          <t>Disabled Reason</t>
        </is>
      </c>
      <c r="E19" s="16" t="inlineStr">
        <is>
          <t>None</t>
        </is>
      </c>
    </row>
    <row r="20">
      <c r="B20" s="15" t="inlineStr">
        <is>
          <t>2.3 Ventilation - Non-Residential</t>
        </is>
      </c>
      <c r="C20" s="16" t="inlineStr"/>
      <c r="D20" s="16" t="inlineStr">
        <is>
          <t>Scoped Out Reason</t>
        </is>
      </c>
      <c r="E20" s="16" t="inlineStr">
        <is>
          <t>No reason provided. This credit is not scoped out until a reason is provided.</t>
        </is>
      </c>
    </row>
    <row r="21">
      <c r="B21" s="15" t="inlineStr">
        <is>
          <t>2.3 Ventilation - Non-Residential</t>
        </is>
      </c>
      <c r="C21" s="16" t="inlineStr"/>
      <c r="D21" s="16" t="inlineStr">
        <is>
          <t>Supporting Evidence</t>
        </is>
      </c>
      <c r="E21" s="16" t="inlineStr">
        <is>
          <t>Required</t>
        </is>
      </c>
    </row>
    <row r="22">
      <c r="B22" s="15" t="inlineStr">
        <is>
          <t>3.4 Thermal comfort - Shading - Non-Residential</t>
        </is>
      </c>
      <c r="C22" s="16" t="inlineStr"/>
      <c r="D22" s="16" t="inlineStr">
        <is>
          <t>Score</t>
        </is>
      </c>
      <c r="E22" s="16" t="inlineStr">
        <is>
          <t>100%</t>
        </is>
      </c>
    </row>
    <row r="23">
      <c r="B23" s="15" t="inlineStr">
        <is>
          <t>3.4 Thermal comfort - Shading - Non-Residential</t>
        </is>
      </c>
      <c r="C23" s="16" t="inlineStr"/>
      <c r="D23" s="16" t="inlineStr">
        <is>
          <t>Weighting</t>
        </is>
      </c>
      <c r="E23" s="16" t="inlineStr">
        <is>
          <t>17.6% weight</t>
        </is>
      </c>
    </row>
    <row r="24">
      <c r="B24" s="15" t="inlineStr">
        <is>
          <t>3.4 Thermal comfort - Shading - Non-Residential</t>
        </is>
      </c>
      <c r="C24" s="16" t="inlineStr"/>
      <c r="D24" s="16" t="inlineStr">
        <is>
          <t>Disabled Reason</t>
        </is>
      </c>
      <c r="E24" s="16" t="inlineStr">
        <is>
          <t>None</t>
        </is>
      </c>
    </row>
    <row r="25">
      <c r="B25" s="15" t="inlineStr">
        <is>
          <t>3.4 Thermal comfort - Shading - Non-Residential</t>
        </is>
      </c>
      <c r="C25" s="16" t="inlineStr"/>
      <c r="D25" s="16" t="inlineStr">
        <is>
          <t>Scoped Out Reason</t>
        </is>
      </c>
      <c r="E25" s="16" t="inlineStr">
        <is>
          <t>No reason provided. This credit is not scoped out until a reason is provided.</t>
        </is>
      </c>
    </row>
    <row r="26">
      <c r="B26" s="15" t="inlineStr">
        <is>
          <t>3.4 Thermal comfort - Shading - Non-Residential</t>
        </is>
      </c>
      <c r="C26" s="16" t="inlineStr"/>
      <c r="D26" s="16" t="inlineStr">
        <is>
          <t>Supporting Evidence</t>
        </is>
      </c>
      <c r="E26" s="16" t="inlineStr">
        <is>
          <t>Required</t>
        </is>
      </c>
    </row>
    <row r="27">
      <c r="B27" s="15" t="inlineStr">
        <is>
          <t>3.5 Thermal Comfort - Ceiling Fans - Non-Residential</t>
        </is>
      </c>
      <c r="C27" s="16" t="inlineStr">
        <is>
          <t>What percentage of regular use areas in tenancies have ceiling fans?</t>
        </is>
      </c>
      <c r="D27" s="16" t="inlineStr">
        <is>
          <t>Score</t>
        </is>
      </c>
      <c r="E27" s="16" t="inlineStr">
        <is>
          <t>0%</t>
        </is>
      </c>
    </row>
    <row r="28">
      <c r="B28" s="15" t="inlineStr">
        <is>
          <t>3.5 Thermal Comfort - Ceiling Fans - Non-Residential</t>
        </is>
      </c>
      <c r="C28" s="16" t="inlineStr">
        <is>
          <t>What percentage of regular use areas in tenancies have ceiling fans?</t>
        </is>
      </c>
      <c r="D28" s="16" t="inlineStr">
        <is>
          <t>Weighting</t>
        </is>
      </c>
      <c r="E28" s="16" t="inlineStr">
        <is>
          <t>5.9% weight</t>
        </is>
      </c>
    </row>
    <row r="29">
      <c r="B29" s="15" t="inlineStr">
        <is>
          <t>3.5 Thermal Comfort - Ceiling Fans - Non-Residential</t>
        </is>
      </c>
      <c r="C29" s="16" t="inlineStr">
        <is>
          <t>What percentage of regular use areas in tenancies have ceiling fans?</t>
        </is>
      </c>
      <c r="D29" s="16" t="inlineStr">
        <is>
          <t>Disabled Reason</t>
        </is>
      </c>
      <c r="E29" s="16" t="inlineStr">
        <is>
          <t>None</t>
        </is>
      </c>
    </row>
    <row r="30">
      <c r="B30" s="15" t="inlineStr">
        <is>
          <t>3.5 Thermal Comfort - Ceiling Fans - Non-Residential</t>
        </is>
      </c>
      <c r="C30" s="16" t="inlineStr">
        <is>
          <t>What percentage of regular use areas in tenancies have ceiling fans?</t>
        </is>
      </c>
      <c r="D30" s="16" t="inlineStr">
        <is>
          <t>Scoped Out Reason</t>
        </is>
      </c>
      <c r="E30" s="16" t="inlineStr">
        <is>
          <t>No reason provided. This credit is not scoped out until a reason is provided.</t>
        </is>
      </c>
    </row>
    <row r="31">
      <c r="B31" s="15" t="inlineStr">
        <is>
          <t>3.5 Thermal Comfort - Ceiling Fans - Non-Residential</t>
        </is>
      </c>
      <c r="C31" s="16" t="inlineStr">
        <is>
          <t>What percentage of regular use areas in tenancies have ceiling fans?</t>
        </is>
      </c>
      <c r="D31" s="16" t="inlineStr">
        <is>
          <t>Supporting Evidence</t>
        </is>
      </c>
      <c r="E31" s="16" t="inlineStr">
        <is>
          <t>Required</t>
        </is>
      </c>
    </row>
    <row r="32">
      <c r="B32" s="15" t="inlineStr">
        <is>
          <t>4.1 Air Quality - Non-Residential</t>
        </is>
      </c>
      <c r="C32" s="16" t="inlineStr"/>
      <c r="D32" s="16" t="inlineStr">
        <is>
          <t>Score</t>
        </is>
      </c>
      <c r="E32" s="16" t="inlineStr">
        <is>
          <t>100%</t>
        </is>
      </c>
    </row>
    <row r="33">
      <c r="B33" s="15" t="inlineStr">
        <is>
          <t>4.1 Air Quality - Non-Residential</t>
        </is>
      </c>
      <c r="C33" s="16" t="inlineStr"/>
      <c r="D33" s="16" t="inlineStr">
        <is>
          <t>Weighting</t>
        </is>
      </c>
      <c r="E33" s="16" t="inlineStr">
        <is>
          <t>5.9% weight</t>
        </is>
      </c>
    </row>
    <row r="34">
      <c r="B34" s="15" t="inlineStr">
        <is>
          <t>4.1 Air Quality - Non-Residential</t>
        </is>
      </c>
      <c r="C34" s="16" t="inlineStr"/>
      <c r="D34" s="16" t="inlineStr">
        <is>
          <t>Disabled Reason</t>
        </is>
      </c>
      <c r="E34" s="16" t="inlineStr">
        <is>
          <t>None</t>
        </is>
      </c>
    </row>
    <row r="35">
      <c r="B35" s="15" t="inlineStr">
        <is>
          <t>4.1 Air Quality - Non-Residential</t>
        </is>
      </c>
      <c r="C35" s="16" t="inlineStr"/>
      <c r="D35" s="16" t="inlineStr">
        <is>
          <t>Scoped Out Reason</t>
        </is>
      </c>
      <c r="E35" s="16" t="inlineStr">
        <is>
          <t>No reason provided. This credit is not scoped out until a reason is provided.</t>
        </is>
      </c>
    </row>
    <row r="36">
      <c r="B36" s="17" t="inlineStr">
        <is>
          <t>4.1 Air Quality - Non-Residential</t>
        </is>
      </c>
      <c r="C36" s="18" t="inlineStr"/>
      <c r="D36" s="18" t="inlineStr">
        <is>
          <t>Supporting Evidence</t>
        </is>
      </c>
      <c r="E36" s="18" t="inlineStr">
        <is>
          <t>Required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E43"/>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1.4 Bicycle Parking - Non-Residential</t>
        </is>
      </c>
      <c r="C3" s="16" t="inlineStr">
        <is>
          <t>Have the planning scheme requirements for employee bicycle parking been exceeded by at least 50% (or a minimum of 2 where there is no planning scheme requirement)?</t>
        </is>
      </c>
      <c r="D3" s="16" t="inlineStr">
        <is>
          <t>Criteria Achieved ?</t>
        </is>
      </c>
      <c r="E3" s="16" t="inlineStr">
        <is>
          <t>Yes</t>
        </is>
      </c>
    </row>
    <row r="4">
      <c r="B4" s="15" t="inlineStr">
        <is>
          <t>1.4 Bicycle Parking - Non-Residential</t>
        </is>
      </c>
      <c r="C4" s="16" t="inlineStr">
        <is>
          <t>Have the planning scheme requirements for employee bicycle parking been exceeded by at least 50% (or a minimum of 2 where there is no planning scheme requirement)?</t>
        </is>
      </c>
      <c r="D4" s="16" t="inlineStr">
        <is>
          <t>Bicycle Spaces Provided ?</t>
        </is>
      </c>
      <c r="E4" s="16" t="inlineStr">
        <is>
          <t>44</t>
        </is>
      </c>
    </row>
    <row r="5">
      <c r="B5" s="15" t="inlineStr">
        <is>
          <t>1.5 Bicycle Parking - Non-Residential Visitor</t>
        </is>
      </c>
      <c r="C5" s="16" t="inlineStr">
        <is>
          <t>Have the planning scheme requirements for visitor bicycle parking been exceeded by at least 50% (or a minimum of 1 where there is no planning scheme requirement)?</t>
        </is>
      </c>
      <c r="D5" s="16" t="inlineStr">
        <is>
          <t>Criteria Achieved ?</t>
        </is>
      </c>
      <c r="E5" s="16" t="inlineStr">
        <is>
          <t>No</t>
        </is>
      </c>
    </row>
    <row r="6">
      <c r="B6" s="15" t="inlineStr">
        <is>
          <t>1.5 Bicycle Parking - Non-Residential Visitor</t>
        </is>
      </c>
      <c r="C6" s="16" t="inlineStr">
        <is>
          <t>Have the planning scheme requirements for visitor bicycle parking been exceeded by at least 50% (or a minimum of 1 where there is no planning scheme requirement)?</t>
        </is>
      </c>
      <c r="D6" s="16" t="inlineStr">
        <is>
          <t>Bicycle Spaces Provided ?</t>
        </is>
      </c>
      <c r="E6" s="16" t="inlineStr"/>
    </row>
    <row r="7">
      <c r="B7" s="15" t="inlineStr">
        <is>
          <t>1.6 End of Trip Facilities - Non-Residential</t>
        </is>
      </c>
      <c r="C7"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7" s="16" t="inlineStr">
        <is>
          <t>Min Showers Required</t>
        </is>
      </c>
      <c r="E7" s="16" t="inlineStr">
        <is>
          <t>1</t>
        </is>
      </c>
    </row>
    <row r="8">
      <c r="B8" s="15" t="inlineStr">
        <is>
          <t>1.6 End of Trip Facilities - Non-Residential</t>
        </is>
      </c>
      <c r="C8"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8" s="16" t="inlineStr">
        <is>
          <t>Min Lockers Required</t>
        </is>
      </c>
      <c r="E8" s="16" t="inlineStr">
        <is>
          <t>44</t>
        </is>
      </c>
    </row>
    <row r="9">
      <c r="B9" s="15" t="inlineStr">
        <is>
          <t>1.6 End of Trip Facilities - Non-Residential</t>
        </is>
      </c>
      <c r="C9"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9" s="16" t="inlineStr">
        <is>
          <t>Number of showers provided ?</t>
        </is>
      </c>
      <c r="E9" s="16" t="inlineStr"/>
    </row>
    <row r="10">
      <c r="B10" s="15" t="inlineStr">
        <is>
          <t>1.6 End of Trip Facilities - Non-Residential</t>
        </is>
      </c>
      <c r="C10"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10" s="16" t="inlineStr">
        <is>
          <t>Number of lockers provided ?</t>
        </is>
      </c>
      <c r="E10" s="16" t="inlineStr"/>
    </row>
    <row r="11">
      <c r="B11" s="15" t="inlineStr">
        <is>
          <t>2.1 Electric Vehicle Infrastructure</t>
        </is>
      </c>
      <c r="C11" s="16" t="inlineStr">
        <is>
          <t>Are facilities provided for the charging of electric vehicles?</t>
        </is>
      </c>
      <c r="D11" s="16" t="inlineStr">
        <is>
          <t>Criteria Achieved ?</t>
        </is>
      </c>
      <c r="E11" s="16" t="inlineStr">
        <is>
          <t>No</t>
        </is>
      </c>
    </row>
    <row r="12">
      <c r="B12" s="15" t="inlineStr">
        <is>
          <t>2.2 Car Share Scheme</t>
        </is>
      </c>
      <c r="C12" s="16" t="inlineStr">
        <is>
          <t>Has a formal car sharing scheme been integrated into the development?</t>
        </is>
      </c>
      <c r="D12" s="16" t="inlineStr">
        <is>
          <t>Criteria Achieved ?</t>
        </is>
      </c>
      <c r="E12" s="16" t="inlineStr">
        <is>
          <t>Yes</t>
        </is>
      </c>
    </row>
    <row r="13">
      <c r="B13" s="15" t="inlineStr">
        <is>
          <t>2.3 Motorbikes / Mopeds</t>
        </is>
      </c>
      <c r="C13" s="16" t="inlineStr">
        <is>
          <t>Are a minimum of 5% of vehicle parking spaces designed and labelled for motorbikes (must be at least 5 motorbike spaces)?</t>
        </is>
      </c>
      <c r="D13" s="16" t="inlineStr">
        <is>
          <t>Criteria Achieved ?</t>
        </is>
      </c>
      <c r="E13" s="16" t="inlineStr">
        <is>
          <t>No</t>
        </is>
      </c>
    </row>
    <row r="14">
      <c r="B14" s="15" t="inlineStr">
        <is>
          <t>1.4 Bicycle Parking - Non-Residential</t>
        </is>
      </c>
      <c r="C14" s="16" t="inlineStr">
        <is>
          <t>Have the planning scheme requirements for employee bicycle parking been exceeded by at least 50% (or a minimum of 2 where there is no planning scheme requirement)?</t>
        </is>
      </c>
      <c r="D14" s="16" t="inlineStr">
        <is>
          <t>Score</t>
        </is>
      </c>
      <c r="E14" s="16" t="inlineStr">
        <is>
          <t>100%</t>
        </is>
      </c>
    </row>
    <row r="15">
      <c r="B15" s="15" t="inlineStr">
        <is>
          <t>1.4 Bicycle Parking - Non-Residential</t>
        </is>
      </c>
      <c r="C15" s="16" t="inlineStr">
        <is>
          <t>Have the planning scheme requirements for employee bicycle parking been exceeded by at least 50% (or a minimum of 2 where there is no planning scheme requirement)?</t>
        </is>
      </c>
      <c r="D15" s="16" t="inlineStr">
        <is>
          <t>Weighting</t>
        </is>
      </c>
      <c r="E15" s="16" t="inlineStr">
        <is>
          <t>25% weight</t>
        </is>
      </c>
    </row>
    <row r="16">
      <c r="B16" s="15" t="inlineStr">
        <is>
          <t>1.4 Bicycle Parking - Non-Residential</t>
        </is>
      </c>
      <c r="C16" s="16" t="inlineStr">
        <is>
          <t>Have the planning scheme requirements for employee bicycle parking been exceeded by at least 50% (or a minimum of 2 where there is no planning scheme requirement)?</t>
        </is>
      </c>
      <c r="D16" s="16" t="inlineStr">
        <is>
          <t>Disabled Reason</t>
        </is>
      </c>
      <c r="E16" s="16" t="inlineStr">
        <is>
          <t>None</t>
        </is>
      </c>
    </row>
    <row r="17">
      <c r="B17" s="15" t="inlineStr">
        <is>
          <t>1.4 Bicycle Parking - Non-Residential</t>
        </is>
      </c>
      <c r="C17" s="16" t="inlineStr">
        <is>
          <t>Have the planning scheme requirements for employee bicycle parking been exceeded by at least 50% (or a minimum of 2 where there is no planning scheme requirement)?</t>
        </is>
      </c>
      <c r="D17" s="16" t="inlineStr">
        <is>
          <t>Scoped Out Reason</t>
        </is>
      </c>
      <c r="E17" s="16" t="inlineStr">
        <is>
          <t>No reason provided. This credit is not scoped out until a reason is provided.</t>
        </is>
      </c>
    </row>
    <row r="18">
      <c r="B18" s="15" t="inlineStr">
        <is>
          <t>1.4 Bicycle Parking - Non-Residential</t>
        </is>
      </c>
      <c r="C18" s="16" t="inlineStr">
        <is>
          <t>Have the planning scheme requirements for employee bicycle parking been exceeded by at least 50% (or a minimum of 2 where there is no planning scheme requirement)?</t>
        </is>
      </c>
      <c r="D18" s="16" t="inlineStr">
        <is>
          <t>Supporting Evidence</t>
        </is>
      </c>
      <c r="E18" s="16" t="inlineStr">
        <is>
          <t>Required</t>
        </is>
      </c>
    </row>
    <row r="19">
      <c r="B19" s="15" t="inlineStr">
        <is>
          <t>1.5 Bicycle Parking - Non-Residential Visitor</t>
        </is>
      </c>
      <c r="C19" s="16" t="inlineStr">
        <is>
          <t>Have the planning scheme requirements for visitor bicycle parking been exceeded by at least 50% (or a minimum of 1 where there is no planning scheme requirement)?</t>
        </is>
      </c>
      <c r="D19" s="16" t="inlineStr">
        <is>
          <t>Score</t>
        </is>
      </c>
      <c r="E19" s="16" t="inlineStr">
        <is>
          <t>0%</t>
        </is>
      </c>
    </row>
    <row r="20">
      <c r="B20" s="15" t="inlineStr">
        <is>
          <t>1.5 Bicycle Parking - Non-Residential Visitor</t>
        </is>
      </c>
      <c r="C20" s="16" t="inlineStr">
        <is>
          <t>Have the planning scheme requirements for visitor bicycle parking been exceeded by at least 50% (or a minimum of 1 where there is no planning scheme requirement)?</t>
        </is>
      </c>
      <c r="D20" s="16" t="inlineStr">
        <is>
          <t>Weighting</t>
        </is>
      </c>
      <c r="E20" s="16" t="inlineStr">
        <is>
          <t>12.5% weight</t>
        </is>
      </c>
    </row>
    <row r="21">
      <c r="B21" s="15" t="inlineStr">
        <is>
          <t>1.5 Bicycle Parking - Non-Residential Visitor</t>
        </is>
      </c>
      <c r="C21" s="16" t="inlineStr">
        <is>
          <t>Have the planning scheme requirements for visitor bicycle parking been exceeded by at least 50% (or a minimum of 1 where there is no planning scheme requirement)?</t>
        </is>
      </c>
      <c r="D21" s="16" t="inlineStr">
        <is>
          <t>Disabled Reason</t>
        </is>
      </c>
      <c r="E21" s="16" t="inlineStr">
        <is>
          <t>None</t>
        </is>
      </c>
    </row>
    <row r="22">
      <c r="B22" s="15" t="inlineStr">
        <is>
          <t>1.5 Bicycle Parking - Non-Residential Visitor</t>
        </is>
      </c>
      <c r="C22" s="16" t="inlineStr">
        <is>
          <t>Have the planning scheme requirements for visitor bicycle parking been exceeded by at least 50% (or a minimum of 1 where there is no planning scheme requirement)?</t>
        </is>
      </c>
      <c r="D22" s="16" t="inlineStr">
        <is>
          <t>Scoped Out Reason</t>
        </is>
      </c>
      <c r="E22" s="16" t="inlineStr">
        <is>
          <t>No reason provided. This credit is not scoped out until a reason is provided.</t>
        </is>
      </c>
    </row>
    <row r="23">
      <c r="B23" s="15" t="inlineStr">
        <is>
          <t>1.5 Bicycle Parking - Non-Residential Visitor</t>
        </is>
      </c>
      <c r="C23" s="16" t="inlineStr">
        <is>
          <t>Have the planning scheme requirements for visitor bicycle parking been exceeded by at least 50% (or a minimum of 1 where there is no planning scheme requirement)?</t>
        </is>
      </c>
      <c r="D23" s="16" t="inlineStr">
        <is>
          <t>Supporting Evidence</t>
        </is>
      </c>
      <c r="E23" s="16" t="inlineStr">
        <is>
          <t>Required</t>
        </is>
      </c>
    </row>
    <row r="24">
      <c r="B24" s="15" t="inlineStr">
        <is>
          <t>1.6 End of Trip Facilities - Non-Residential</t>
        </is>
      </c>
      <c r="C24"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24" s="16" t="inlineStr">
        <is>
          <t>Score</t>
        </is>
      </c>
      <c r="E24" s="16" t="inlineStr">
        <is>
          <t>0%</t>
        </is>
      </c>
    </row>
    <row r="25">
      <c r="B25" s="15" t="inlineStr">
        <is>
          <t>1.6 End of Trip Facilities - Non-Residential</t>
        </is>
      </c>
      <c r="C25"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25" s="16" t="inlineStr">
        <is>
          <t>Weighting</t>
        </is>
      </c>
      <c r="E25" s="16" t="inlineStr">
        <is>
          <t>12.5% weight</t>
        </is>
      </c>
    </row>
    <row r="26">
      <c r="B26" s="15" t="inlineStr">
        <is>
          <t>1.6 End of Trip Facilities - Non-Residential</t>
        </is>
      </c>
      <c r="C26"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26" s="16" t="inlineStr">
        <is>
          <t>Disabled Reason</t>
        </is>
      </c>
      <c r="E26" s="16" t="inlineStr">
        <is>
          <t>None</t>
        </is>
      </c>
    </row>
    <row r="27">
      <c r="B27" s="15" t="inlineStr">
        <is>
          <t>1.6 End of Trip Facilities - Non-Residential</t>
        </is>
      </c>
      <c r="C27"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27" s="16" t="inlineStr">
        <is>
          <t>Scoped Out Reason</t>
        </is>
      </c>
      <c r="E27" s="16" t="inlineStr">
        <is>
          <t>No reason provided. This credit is not scoped out until a reason is provided.</t>
        </is>
      </c>
    </row>
    <row r="28">
      <c r="B28" s="15" t="inlineStr">
        <is>
          <t>1.6 End of Trip Facilities - Non-Residential</t>
        </is>
      </c>
      <c r="C28"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28" s="16" t="inlineStr">
        <is>
          <t>Supporting Evidence</t>
        </is>
      </c>
      <c r="E28" s="16" t="inlineStr">
        <is>
          <t>Required</t>
        </is>
      </c>
    </row>
    <row r="29">
      <c r="B29" s="15" t="inlineStr">
        <is>
          <t>2.1 Electric Vehicle Infrastructure</t>
        </is>
      </c>
      <c r="C29" s="16" t="inlineStr">
        <is>
          <t>Are facilities provided for the charging of electric vehicles?</t>
        </is>
      </c>
      <c r="D29" s="16" t="inlineStr">
        <is>
          <t>Score</t>
        </is>
      </c>
      <c r="E29" s="16" t="inlineStr">
        <is>
          <t>0%</t>
        </is>
      </c>
    </row>
    <row r="30">
      <c r="B30" s="15" t="inlineStr">
        <is>
          <t>2.1 Electric Vehicle Infrastructure</t>
        </is>
      </c>
      <c r="C30" s="16" t="inlineStr">
        <is>
          <t>Are facilities provided for the charging of electric vehicles?</t>
        </is>
      </c>
      <c r="D30" s="16" t="inlineStr">
        <is>
          <t>Weighting</t>
        </is>
      </c>
      <c r="E30" s="16" t="inlineStr">
        <is>
          <t>25% weight</t>
        </is>
      </c>
    </row>
    <row r="31">
      <c r="B31" s="15" t="inlineStr">
        <is>
          <t>2.1 Electric Vehicle Infrastructure</t>
        </is>
      </c>
      <c r="C31" s="16" t="inlineStr">
        <is>
          <t>Are facilities provided for the charging of electric vehicles?</t>
        </is>
      </c>
      <c r="D31" s="16" t="inlineStr">
        <is>
          <t>Disabled Reason</t>
        </is>
      </c>
      <c r="E31" s="16" t="inlineStr">
        <is>
          <t>None</t>
        </is>
      </c>
    </row>
    <row r="32">
      <c r="B32" s="15" t="inlineStr">
        <is>
          <t>2.1 Electric Vehicle Infrastructure</t>
        </is>
      </c>
      <c r="C32" s="16" t="inlineStr">
        <is>
          <t>Are facilities provided for the charging of electric vehicles?</t>
        </is>
      </c>
      <c r="D32" s="16" t="inlineStr">
        <is>
          <t>Scoped Out Reason</t>
        </is>
      </c>
      <c r="E32" s="16" t="inlineStr">
        <is>
          <t>No reason provided. This credit is not scoped out until a reason is provided.</t>
        </is>
      </c>
    </row>
    <row r="33">
      <c r="B33" s="15" t="inlineStr">
        <is>
          <t>2.1 Electric Vehicle Infrastructure</t>
        </is>
      </c>
      <c r="C33" s="16" t="inlineStr">
        <is>
          <t>Are facilities provided for the charging of electric vehicles?</t>
        </is>
      </c>
      <c r="D33" s="16" t="inlineStr">
        <is>
          <t>Supporting Evidence</t>
        </is>
      </c>
      <c r="E33" s="16" t="inlineStr">
        <is>
          <t>Required</t>
        </is>
      </c>
    </row>
    <row r="34">
      <c r="B34" s="15" t="inlineStr">
        <is>
          <t>2.2 Car Share Scheme</t>
        </is>
      </c>
      <c r="C34" s="16" t="inlineStr">
        <is>
          <t>Has a formal car sharing scheme been integrated into the development?</t>
        </is>
      </c>
      <c r="D34" s="16" t="inlineStr">
        <is>
          <t>Score</t>
        </is>
      </c>
      <c r="E34" s="16" t="inlineStr">
        <is>
          <t>100%</t>
        </is>
      </c>
    </row>
    <row r="35">
      <c r="B35" s="15" t="inlineStr">
        <is>
          <t>2.2 Car Share Scheme</t>
        </is>
      </c>
      <c r="C35" s="16" t="inlineStr">
        <is>
          <t>Has a formal car sharing scheme been integrated into the development?</t>
        </is>
      </c>
      <c r="D35" s="16" t="inlineStr">
        <is>
          <t>Weighting</t>
        </is>
      </c>
      <c r="E35" s="16" t="inlineStr">
        <is>
          <t>12.5% weight</t>
        </is>
      </c>
    </row>
    <row r="36">
      <c r="B36" s="15" t="inlineStr">
        <is>
          <t>2.2 Car Share Scheme</t>
        </is>
      </c>
      <c r="C36" s="16" t="inlineStr">
        <is>
          <t>Has a formal car sharing scheme been integrated into the development?</t>
        </is>
      </c>
      <c r="D36" s="16" t="inlineStr">
        <is>
          <t>Disabled Reason</t>
        </is>
      </c>
      <c r="E36" s="16" t="inlineStr">
        <is>
          <t>None</t>
        </is>
      </c>
    </row>
    <row r="37">
      <c r="B37" s="15" t="inlineStr">
        <is>
          <t>2.2 Car Share Scheme</t>
        </is>
      </c>
      <c r="C37" s="16" t="inlineStr">
        <is>
          <t>Has a formal car sharing scheme been integrated into the development?</t>
        </is>
      </c>
      <c r="D37" s="16" t="inlineStr">
        <is>
          <t>Scoped Out Reason</t>
        </is>
      </c>
      <c r="E37" s="16" t="inlineStr">
        <is>
          <t>No reason provided. This credit is not scoped out until a reason is provided.</t>
        </is>
      </c>
    </row>
    <row r="38">
      <c r="B38" s="15" t="inlineStr">
        <is>
          <t>2.2 Car Share Scheme</t>
        </is>
      </c>
      <c r="C38" s="16" t="inlineStr">
        <is>
          <t>Has a formal car sharing scheme been integrated into the development?</t>
        </is>
      </c>
      <c r="D38" s="16" t="inlineStr">
        <is>
          <t>Supporting Evidence</t>
        </is>
      </c>
      <c r="E38" s="16" t="inlineStr">
        <is>
          <t>Required</t>
        </is>
      </c>
    </row>
    <row r="39">
      <c r="B39" s="15" t="inlineStr">
        <is>
          <t>2.3 Motorbikes / Mopeds</t>
        </is>
      </c>
      <c r="C39" s="16" t="inlineStr">
        <is>
          <t>Are a minimum of 5% of vehicle parking spaces designed and labelled for motorbikes (must be at least 5 motorbike spaces)?</t>
        </is>
      </c>
      <c r="D39" s="16" t="inlineStr">
        <is>
          <t>Score</t>
        </is>
      </c>
      <c r="E39" s="16" t="inlineStr">
        <is>
          <t>0%</t>
        </is>
      </c>
    </row>
    <row r="40">
      <c r="B40" s="15" t="inlineStr">
        <is>
          <t>2.3 Motorbikes / Mopeds</t>
        </is>
      </c>
      <c r="C40" s="16" t="inlineStr">
        <is>
          <t>Are a minimum of 5% of vehicle parking spaces designed and labelled for motorbikes (must be at least 5 motorbike spaces)?</t>
        </is>
      </c>
      <c r="D40" s="16" t="inlineStr">
        <is>
          <t>Weighting</t>
        </is>
      </c>
      <c r="E40" s="16" t="inlineStr">
        <is>
          <t>12.5% weight</t>
        </is>
      </c>
    </row>
    <row r="41">
      <c r="B41" s="15" t="inlineStr">
        <is>
          <t>2.3 Motorbikes / Mopeds</t>
        </is>
      </c>
      <c r="C41" s="16" t="inlineStr">
        <is>
          <t>Are a minimum of 5% of vehicle parking spaces designed and labelled for motorbikes (must be at least 5 motorbike spaces)?</t>
        </is>
      </c>
      <c r="D41" s="16" t="inlineStr">
        <is>
          <t>Disabled Reason</t>
        </is>
      </c>
      <c r="E41" s="16" t="inlineStr">
        <is>
          <t>None</t>
        </is>
      </c>
    </row>
    <row r="42">
      <c r="B42" s="15" t="inlineStr">
        <is>
          <t>2.3 Motorbikes / Mopeds</t>
        </is>
      </c>
      <c r="C42" s="16" t="inlineStr">
        <is>
          <t>Are a minimum of 5% of vehicle parking spaces designed and labelled for motorbikes (must be at least 5 motorbike spaces)?</t>
        </is>
      </c>
      <c r="D42" s="16" t="inlineStr">
        <is>
          <t>Scoped Out Reason</t>
        </is>
      </c>
      <c r="E42" s="16" t="inlineStr">
        <is>
          <t>No reason provided. This credit is not scoped out until a reason is provided.</t>
        </is>
      </c>
    </row>
    <row r="43">
      <c r="B43" s="17" t="inlineStr">
        <is>
          <t>2.3 Motorbikes / Mopeds</t>
        </is>
      </c>
      <c r="C43" s="18" t="inlineStr">
        <is>
          <t>Are a minimum of 5% of vehicle parking spaces designed and labelled for motorbikes (must be at least 5 motorbike spaces)?</t>
        </is>
      </c>
      <c r="D43" s="18" t="inlineStr">
        <is>
          <t>Supporting Evidence</t>
        </is>
      </c>
      <c r="E43" s="18" t="inlineStr">
        <is>
          <t>Required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E20"/>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Construction Waste - Building Re-Use</t>
        </is>
      </c>
      <c r="C3" s="16" t="inlineStr">
        <is>
          <t>If the development is on a site that has been previously developed, has at least 30% of the existing building been re-used?</t>
        </is>
      </c>
      <c r="D3" s="16" t="inlineStr">
        <is>
          <t>Criteria Achieved ?</t>
        </is>
      </c>
      <c r="E3" s="16" t="inlineStr">
        <is>
          <t>No</t>
        </is>
      </c>
    </row>
    <row r="4">
      <c r="B4" s="15" t="inlineStr">
        <is>
          <t>2.1 Operational Waste - Food &amp; Garden Waste</t>
        </is>
      </c>
      <c r="C4" s="16" t="inlineStr">
        <is>
          <t>Are facilities provided for on-site management of food and garden waste?</t>
        </is>
      </c>
      <c r="D4" s="16" t="inlineStr">
        <is>
          <t>Criteria Achieved ?</t>
        </is>
      </c>
      <c r="E4" s="16" t="inlineStr">
        <is>
          <t>Yes</t>
        </is>
      </c>
    </row>
    <row r="5">
      <c r="B5" s="15" t="inlineStr">
        <is>
          <t>2.2 Operational Waste - Convenience of Recycling</t>
        </is>
      </c>
      <c r="C5" s="16" t="inlineStr">
        <is>
          <t>Are the recycling facilities at least as convenient for occupants as facilities for general waste?</t>
        </is>
      </c>
      <c r="D5" s="16" t="inlineStr">
        <is>
          <t>Criteria Achieved ?</t>
        </is>
      </c>
      <c r="E5" s="16" t="inlineStr">
        <is>
          <t>Yes</t>
        </is>
      </c>
    </row>
    <row r="6">
      <c r="B6" s="15" t="inlineStr">
        <is>
          <t>1.1 Construction Waste - Building Re-Use</t>
        </is>
      </c>
      <c r="C6" s="16" t="inlineStr">
        <is>
          <t>If the development is on a site that has been previously developed, has at least 30% of the existing building been re-used?</t>
        </is>
      </c>
      <c r="D6" s="16" t="inlineStr">
        <is>
          <t>Score</t>
        </is>
      </c>
      <c r="E6" s="16" t="inlineStr">
        <is>
          <t>0%</t>
        </is>
      </c>
    </row>
    <row r="7">
      <c r="B7" s="15" t="inlineStr">
        <is>
          <t>1.1 Construction Waste - Building Re-Use</t>
        </is>
      </c>
      <c r="C7" s="16" t="inlineStr">
        <is>
          <t>If the development is on a site that has been previously developed, has at least 30% of the existing building been re-used?</t>
        </is>
      </c>
      <c r="D7" s="16" t="inlineStr">
        <is>
          <t>Weighting</t>
        </is>
      </c>
      <c r="E7" s="16" t="inlineStr">
        <is>
          <t>33.3% weight</t>
        </is>
      </c>
    </row>
    <row r="8">
      <c r="B8" s="15" t="inlineStr">
        <is>
          <t>1.1 Construction Waste - Building Re-Use</t>
        </is>
      </c>
      <c r="C8" s="16" t="inlineStr">
        <is>
          <t>If the development is on a site that has been previously developed, has at least 30% of the existing building been re-used?</t>
        </is>
      </c>
      <c r="D8" s="16" t="inlineStr">
        <is>
          <t>Disabled Reason</t>
        </is>
      </c>
      <c r="E8" s="16" t="inlineStr">
        <is>
          <t>None</t>
        </is>
      </c>
    </row>
    <row r="9">
      <c r="B9" s="15" t="inlineStr">
        <is>
          <t>1.1 Construction Waste - Building Re-Use</t>
        </is>
      </c>
      <c r="C9" s="16" t="inlineStr">
        <is>
          <t>If the development is on a site that has been previously developed, has at least 30% of the existing building been re-used?</t>
        </is>
      </c>
      <c r="D9" s="16" t="inlineStr">
        <is>
          <t>Scoped Out Reason</t>
        </is>
      </c>
      <c r="E9" s="16" t="inlineStr">
        <is>
          <t>No reason provided. This credit is not scoped out until a reason is provided.</t>
        </is>
      </c>
    </row>
    <row r="10">
      <c r="B10" s="15" t="inlineStr">
        <is>
          <t>1.1 Construction Waste - Building Re-Use</t>
        </is>
      </c>
      <c r="C10" s="16" t="inlineStr">
        <is>
          <t>If the development is on a site that has been previously developed, has at least 30% of the existing building been re-used?</t>
        </is>
      </c>
      <c r="D10" s="16" t="inlineStr">
        <is>
          <t>Supporting Evidence</t>
        </is>
      </c>
      <c r="E10" s="16" t="inlineStr">
        <is>
          <t>Required</t>
        </is>
      </c>
    </row>
    <row r="11">
      <c r="B11" s="15" t="inlineStr">
        <is>
          <t>2.1 Operational Waste - Food &amp; Garden Waste</t>
        </is>
      </c>
      <c r="C11" s="16" t="inlineStr">
        <is>
          <t>Are facilities provided for on-site management of food and garden waste?</t>
        </is>
      </c>
      <c r="D11" s="16" t="inlineStr">
        <is>
          <t>Score</t>
        </is>
      </c>
      <c r="E11" s="16" t="inlineStr">
        <is>
          <t>100%</t>
        </is>
      </c>
    </row>
    <row r="12">
      <c r="B12" s="15" t="inlineStr">
        <is>
          <t>2.1 Operational Waste - Food &amp; Garden Waste</t>
        </is>
      </c>
      <c r="C12" s="16" t="inlineStr">
        <is>
          <t>Are facilities provided for on-site management of food and garden waste?</t>
        </is>
      </c>
      <c r="D12" s="16" t="inlineStr">
        <is>
          <t>Weighting</t>
        </is>
      </c>
      <c r="E12" s="16" t="inlineStr">
        <is>
          <t>33.3% weight</t>
        </is>
      </c>
    </row>
    <row r="13">
      <c r="B13" s="15" t="inlineStr">
        <is>
          <t>2.1 Operational Waste - Food &amp; Garden Waste</t>
        </is>
      </c>
      <c r="C13" s="16" t="inlineStr">
        <is>
          <t>Are facilities provided for on-site management of food and garden waste?</t>
        </is>
      </c>
      <c r="D13" s="16" t="inlineStr">
        <is>
          <t>Disabled Reason</t>
        </is>
      </c>
      <c r="E13" s="16" t="inlineStr">
        <is>
          <t>None</t>
        </is>
      </c>
    </row>
    <row r="14">
      <c r="B14" s="15" t="inlineStr">
        <is>
          <t>2.1 Operational Waste - Food &amp; Garden Waste</t>
        </is>
      </c>
      <c r="C14" s="16" t="inlineStr">
        <is>
          <t>Are facilities provided for on-site management of food and garden waste?</t>
        </is>
      </c>
      <c r="D14" s="16" t="inlineStr">
        <is>
          <t>Scoped Out Reason</t>
        </is>
      </c>
      <c r="E14" s="16" t="inlineStr">
        <is>
          <t>No reason provided. This credit is not scoped out until a reason is provided.</t>
        </is>
      </c>
    </row>
    <row r="15">
      <c r="B15" s="15" t="inlineStr">
        <is>
          <t>2.1 Operational Waste - Food &amp; Garden Waste</t>
        </is>
      </c>
      <c r="C15" s="16" t="inlineStr">
        <is>
          <t>Are facilities provided for on-site management of food and garden waste?</t>
        </is>
      </c>
      <c r="D15" s="16" t="inlineStr">
        <is>
          <t>Supporting Evidence</t>
        </is>
      </c>
      <c r="E15" s="16" t="inlineStr">
        <is>
          <t>Required</t>
        </is>
      </c>
    </row>
    <row r="16">
      <c r="B16" s="15" t="inlineStr">
        <is>
          <t>2.2 Operational Waste - Convenience of Recycling</t>
        </is>
      </c>
      <c r="C16" s="16" t="inlineStr">
        <is>
          <t>Are the recycling facilities at least as convenient for occupants as facilities for general waste?</t>
        </is>
      </c>
      <c r="D16" s="16" t="inlineStr">
        <is>
          <t>Score</t>
        </is>
      </c>
      <c r="E16" s="16" t="inlineStr">
        <is>
          <t>100%</t>
        </is>
      </c>
    </row>
    <row r="17">
      <c r="B17" s="15" t="inlineStr">
        <is>
          <t>2.2 Operational Waste - Convenience of Recycling</t>
        </is>
      </c>
      <c r="C17" s="16" t="inlineStr">
        <is>
          <t>Are the recycling facilities at least as convenient for occupants as facilities for general waste?</t>
        </is>
      </c>
      <c r="D17" s="16" t="inlineStr">
        <is>
          <t>Weighting</t>
        </is>
      </c>
      <c r="E17" s="16" t="inlineStr">
        <is>
          <t>33.3% weight</t>
        </is>
      </c>
    </row>
    <row r="18">
      <c r="B18" s="15" t="inlineStr">
        <is>
          <t>2.2 Operational Waste - Convenience of Recycling</t>
        </is>
      </c>
      <c r="C18" s="16" t="inlineStr">
        <is>
          <t>Are the recycling facilities at least as convenient for occupants as facilities for general waste?</t>
        </is>
      </c>
      <c r="D18" s="16" t="inlineStr">
        <is>
          <t>Disabled Reason</t>
        </is>
      </c>
      <c r="E18" s="16" t="inlineStr">
        <is>
          <t>None</t>
        </is>
      </c>
    </row>
    <row r="19">
      <c r="B19" s="15" t="inlineStr">
        <is>
          <t>2.2 Operational Waste - Convenience of Recycling</t>
        </is>
      </c>
      <c r="C19" s="16" t="inlineStr">
        <is>
          <t>Are the recycling facilities at least as convenient for occupants as facilities for general waste?</t>
        </is>
      </c>
      <c r="D19" s="16" t="inlineStr">
        <is>
          <t>Scoped Out Reason</t>
        </is>
      </c>
      <c r="E19" s="16" t="inlineStr">
        <is>
          <t>No reason provided. This credit is not scoped out until a reason is provided.</t>
        </is>
      </c>
    </row>
    <row r="20">
      <c r="B20" s="17" t="inlineStr">
        <is>
          <t>2.2 Operational Waste - Convenience of Recycling</t>
        </is>
      </c>
      <c r="C20" s="18" t="inlineStr">
        <is>
          <t>Are the recycling facilities at least as convenient for occupants as facilities for general waste?</t>
        </is>
      </c>
      <c r="D20" s="18" t="inlineStr">
        <is>
          <t>Supporting Evidence</t>
        </is>
      </c>
      <c r="E20" s="18" t="inlineStr">
        <is>
          <t>Required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Communal Spaces</t>
        </is>
      </c>
      <c r="C3" s="16" t="inlineStr">
        <is>
          <t>Is there at least the following amount of common space measured in square meters :                             
* 1m² for each of the first 50 occupants                                                                                              * Additional 0.5m² for each occupant between 51 and 250                                                                    * Additional 0.25m² for each occupant above 251?</t>
        </is>
      </c>
      <c r="D3" s="16" t="inlineStr">
        <is>
          <t>Minimum Common Space Required</t>
        </is>
      </c>
      <c r="E3" s="16" t="inlineStr">
        <is>
          <t>82 Square Metres</t>
        </is>
      </c>
    </row>
    <row r="4">
      <c r="B4" s="15" t="inlineStr">
        <is>
          <t>1.1 Communal Spaces</t>
        </is>
      </c>
      <c r="C4" s="16" t="inlineStr">
        <is>
          <t>Is there at least the following amount of common space measured in square meters :                             
* 1m² for each of the first 50 occupants                                                                                              * Additional 0.5m² for each occupant between 51 and 250                                                                    * Additional 0.25m² for each occupant above 251?</t>
        </is>
      </c>
      <c r="D4" s="16" t="inlineStr">
        <is>
          <t>Common space provided</t>
        </is>
      </c>
      <c r="E4" s="16" t="inlineStr">
        <is>
          <t>100 Square Metres</t>
        </is>
      </c>
    </row>
    <row r="5">
      <c r="B5" s="15" t="inlineStr">
        <is>
          <t>2.1 Vegetation</t>
        </is>
      </c>
      <c r="C5" s="16" t="inlineStr">
        <is>
          <t>How much of the site is covered with vegetation, expressed as a percentage of the total site area?</t>
        </is>
      </c>
      <c r="D5" s="16" t="inlineStr">
        <is>
          <t>Percentage Achieved ?</t>
        </is>
      </c>
      <c r="E5" s="16" t="inlineStr">
        <is>
          <t>13%</t>
        </is>
      </c>
    </row>
    <row r="6">
      <c r="B6" s="15" t="inlineStr">
        <is>
          <t>2.2 Green Roofs</t>
        </is>
      </c>
      <c r="C6" s="16" t="inlineStr">
        <is>
          <t>Does the development incorporate a green roof?</t>
        </is>
      </c>
      <c r="D6" s="16" t="inlineStr">
        <is>
          <t>Criteria Achieved ?</t>
        </is>
      </c>
      <c r="E6" s="16" t="inlineStr">
        <is>
          <t>No</t>
        </is>
      </c>
    </row>
    <row r="7">
      <c r="B7" s="15" t="inlineStr">
        <is>
          <t>2.3 Green Walls and Facades</t>
        </is>
      </c>
      <c r="C7" s="16" t="inlineStr">
        <is>
          <t>Does the development incorporate a green wall or green façade?</t>
        </is>
      </c>
      <c r="D7" s="16" t="inlineStr">
        <is>
          <t>Criteria Achieved ?</t>
        </is>
      </c>
      <c r="E7" s="16" t="inlineStr">
        <is>
          <t>No</t>
        </is>
      </c>
    </row>
    <row r="8">
      <c r="B8" s="15" t="inlineStr">
        <is>
          <t>3.2 Food Production - Non-Residential</t>
        </is>
      </c>
      <c r="C8" s="16" t="inlineStr">
        <is>
          <t>What area of space per occupant is dedicated to food production?</t>
        </is>
      </c>
      <c r="D8" s="16" t="inlineStr">
        <is>
          <t>Min Food Production Area</t>
        </is>
      </c>
      <c r="E8" s="16" t="inlineStr">
        <is>
          <t>29 Square Metres</t>
        </is>
      </c>
    </row>
    <row r="9">
      <c r="B9" s="15" t="inlineStr">
        <is>
          <t>3.2 Food Production - Non-Residential</t>
        </is>
      </c>
      <c r="C9" s="16" t="inlineStr">
        <is>
          <t>What area of space per occupant is dedicated to food production?</t>
        </is>
      </c>
      <c r="D9" s="16" t="inlineStr">
        <is>
          <t>Food Production Area</t>
        </is>
      </c>
      <c r="E9" s="16" t="inlineStr">
        <is>
          <t>0.0 Square Metres</t>
        </is>
      </c>
    </row>
    <row r="10">
      <c r="B10" s="15" t="inlineStr">
        <is>
          <t>1.1 Communal Spaces</t>
        </is>
      </c>
      <c r="C10" s="16" t="inlineStr">
        <is>
          <t>Is there at least the following amount of common space measured in square meters :                             
* 1m² for each of the first 50 occupants                                                                                              * Additional 0.5m² for each occupant between 51 and 250                                                                    * Additional 0.25m² for each occupant above 251?</t>
        </is>
      </c>
      <c r="D10" s="16" t="inlineStr">
        <is>
          <t>Score</t>
        </is>
      </c>
      <c r="E10" s="16" t="inlineStr">
        <is>
          <t>100%</t>
        </is>
      </c>
    </row>
    <row r="11">
      <c r="B11" s="15" t="inlineStr">
        <is>
          <t>1.1 Communal Spaces</t>
        </is>
      </c>
      <c r="C11" s="16" t="inlineStr">
        <is>
          <t>Is there at least the following amount of common space measured in square meters :                             
* 1m² for each of the first 50 occupants                                                                                              * Additional 0.5m² for each occupant between 51 and 250                                                                    * Additional 0.25m² for each occupant above 251?</t>
        </is>
      </c>
      <c r="D11" s="16" t="inlineStr">
        <is>
          <t>Weighting</t>
        </is>
      </c>
      <c r="E11" s="16" t="inlineStr">
        <is>
          <t>12.5% weight</t>
        </is>
      </c>
    </row>
    <row r="12">
      <c r="B12" s="15" t="inlineStr">
        <is>
          <t>1.1 Communal Spaces</t>
        </is>
      </c>
      <c r="C12" s="16" t="inlineStr">
        <is>
          <t>Is there at least the following amount of common space measured in square meters :                             
* 1m² for each of the first 50 occupants                                                                                              * Additional 0.5m² for each occupant between 51 and 250                                                                    * Additional 0.25m² for each occupant above 251?</t>
        </is>
      </c>
      <c r="D12" s="16" t="inlineStr">
        <is>
          <t>Disabled Reason</t>
        </is>
      </c>
      <c r="E12" s="16" t="inlineStr">
        <is>
          <t>None</t>
        </is>
      </c>
    </row>
    <row r="13">
      <c r="B13" s="15" t="inlineStr">
        <is>
          <t>1.1 Communal Spaces</t>
        </is>
      </c>
      <c r="C13" s="16" t="inlineStr">
        <is>
          <t>Is there at least the following amount of common space measured in square meters :                             
* 1m² for each of the first 50 occupants                                                                                              * Additional 0.5m² for each occupant between 51 and 250                                                                    * Additional 0.25m² for each occupant above 251?</t>
        </is>
      </c>
      <c r="D13" s="16" t="inlineStr">
        <is>
          <t>Scoped Out Reason</t>
        </is>
      </c>
      <c r="E13" s="16" t="inlineStr">
        <is>
          <t>No reason provided. This credit is not scoped out until a reason is provided.</t>
        </is>
      </c>
    </row>
    <row r="14">
      <c r="B14" s="15" t="inlineStr">
        <is>
          <t>1.1 Communal Spaces</t>
        </is>
      </c>
      <c r="C14" s="16" t="inlineStr">
        <is>
          <t>Is there at least the following amount of common space measured in square meters :                             
* 1m² for each of the first 50 occupants                                                                                              * Additional 0.5m² for each occupant between 51 and 250                                                                    * Additional 0.25m² for each occupant above 251?</t>
        </is>
      </c>
      <c r="D14" s="16" t="inlineStr">
        <is>
          <t>Supporting Evidence</t>
        </is>
      </c>
      <c r="E14" s="16" t="inlineStr">
        <is>
          <t>Required</t>
        </is>
      </c>
    </row>
    <row r="15">
      <c r="B15" s="15" t="inlineStr">
        <is>
          <t>2.1 Vegetation</t>
        </is>
      </c>
      <c r="C15" s="16" t="inlineStr">
        <is>
          <t>How much of the site is covered with vegetation, expressed as a percentage of the total site area?</t>
        </is>
      </c>
      <c r="D15" s="16" t="inlineStr">
        <is>
          <t>Score</t>
        </is>
      </c>
      <c r="E15" s="16" t="inlineStr">
        <is>
          <t>50%</t>
        </is>
      </c>
    </row>
    <row r="16">
      <c r="B16" s="15" t="inlineStr">
        <is>
          <t>2.1 Vegetation</t>
        </is>
      </c>
      <c r="C16" s="16" t="inlineStr">
        <is>
          <t>How much of the site is covered with vegetation, expressed as a percentage of the total site area?</t>
        </is>
      </c>
      <c r="D16" s="16" t="inlineStr">
        <is>
          <t>Weighting</t>
        </is>
      </c>
      <c r="E16" s="16" t="inlineStr">
        <is>
          <t>50% weight</t>
        </is>
      </c>
    </row>
    <row r="17">
      <c r="B17" s="15" t="inlineStr">
        <is>
          <t>2.1 Vegetation</t>
        </is>
      </c>
      <c r="C17" s="16" t="inlineStr">
        <is>
          <t>How much of the site is covered with vegetation, expressed as a percentage of the total site area?</t>
        </is>
      </c>
      <c r="D17" s="16" t="inlineStr">
        <is>
          <t>Disabled Reason</t>
        </is>
      </c>
      <c r="E17" s="16" t="inlineStr">
        <is>
          <t>None</t>
        </is>
      </c>
    </row>
    <row r="18">
      <c r="B18" s="15" t="inlineStr">
        <is>
          <t>2.1 Vegetation</t>
        </is>
      </c>
      <c r="C18" s="16" t="inlineStr">
        <is>
          <t>How much of the site is covered with vegetation, expressed as a percentage of the total site area?</t>
        </is>
      </c>
      <c r="D18" s="16" t="inlineStr">
        <is>
          <t>Scoped Out Reason</t>
        </is>
      </c>
      <c r="E18" s="16" t="inlineStr">
        <is>
          <t>No reason provided. This credit is not scoped out until a reason is provided.</t>
        </is>
      </c>
    </row>
    <row r="19">
      <c r="B19" s="15" t="inlineStr">
        <is>
          <t>2.1 Vegetation</t>
        </is>
      </c>
      <c r="C19" s="16" t="inlineStr">
        <is>
          <t>How much of the site is covered with vegetation, expressed as a percentage of the total site area?</t>
        </is>
      </c>
      <c r="D19" s="16" t="inlineStr">
        <is>
          <t>Supporting Evidence</t>
        </is>
      </c>
      <c r="E19" s="16" t="inlineStr">
        <is>
          <t>Required</t>
        </is>
      </c>
    </row>
    <row r="20">
      <c r="B20" s="15" t="inlineStr">
        <is>
          <t>2.2 Green Roofs</t>
        </is>
      </c>
      <c r="C20" s="16" t="inlineStr">
        <is>
          <t>Does the development incorporate a green roof?</t>
        </is>
      </c>
      <c r="D20" s="16" t="inlineStr">
        <is>
          <t>Score</t>
        </is>
      </c>
      <c r="E20" s="16" t="inlineStr">
        <is>
          <t>0%</t>
        </is>
      </c>
    </row>
    <row r="21">
      <c r="B21" s="15" t="inlineStr">
        <is>
          <t>2.2 Green Roofs</t>
        </is>
      </c>
      <c r="C21" s="16" t="inlineStr">
        <is>
          <t>Does the development incorporate a green roof?</t>
        </is>
      </c>
      <c r="D21" s="16" t="inlineStr">
        <is>
          <t>Weighting</t>
        </is>
      </c>
      <c r="E21" s="16" t="inlineStr">
        <is>
          <t>12.5% weight</t>
        </is>
      </c>
    </row>
    <row r="22">
      <c r="B22" s="15" t="inlineStr">
        <is>
          <t>2.2 Green Roofs</t>
        </is>
      </c>
      <c r="C22" s="16" t="inlineStr">
        <is>
          <t>Does the development incorporate a green roof?</t>
        </is>
      </c>
      <c r="D22" s="16" t="inlineStr">
        <is>
          <t>Disabled Reason</t>
        </is>
      </c>
      <c r="E22" s="16" t="inlineStr">
        <is>
          <t>None</t>
        </is>
      </c>
    </row>
    <row r="23">
      <c r="B23" s="15" t="inlineStr">
        <is>
          <t>2.2 Green Roofs</t>
        </is>
      </c>
      <c r="C23" s="16" t="inlineStr">
        <is>
          <t>Does the development incorporate a green roof?</t>
        </is>
      </c>
      <c r="D23" s="16" t="inlineStr">
        <is>
          <t>Scoped Out Reason</t>
        </is>
      </c>
      <c r="E23" s="16" t="inlineStr">
        <is>
          <t>No reason provided. This credit is not scoped out until a reason is provided.</t>
        </is>
      </c>
    </row>
    <row r="24">
      <c r="B24" s="15" t="inlineStr">
        <is>
          <t>2.2 Green Roofs</t>
        </is>
      </c>
      <c r="C24" s="16" t="inlineStr">
        <is>
          <t>Does the development incorporate a green roof?</t>
        </is>
      </c>
      <c r="D24" s="16" t="inlineStr">
        <is>
          <t>Supporting Evidence</t>
        </is>
      </c>
      <c r="E24" s="16" t="inlineStr">
        <is>
          <t>Required</t>
        </is>
      </c>
    </row>
    <row r="25">
      <c r="B25" s="15" t="inlineStr">
        <is>
          <t>2.3 Green Walls and Facades</t>
        </is>
      </c>
      <c r="C25" s="16" t="inlineStr">
        <is>
          <t>Does the development incorporate a green wall or green façade?</t>
        </is>
      </c>
      <c r="D25" s="16" t="inlineStr">
        <is>
          <t>Score</t>
        </is>
      </c>
      <c r="E25" s="16" t="inlineStr">
        <is>
          <t>0%</t>
        </is>
      </c>
    </row>
    <row r="26">
      <c r="B26" s="15" t="inlineStr">
        <is>
          <t>2.3 Green Walls and Facades</t>
        </is>
      </c>
      <c r="C26" s="16" t="inlineStr">
        <is>
          <t>Does the development incorporate a green wall or green façade?</t>
        </is>
      </c>
      <c r="D26" s="16" t="inlineStr">
        <is>
          <t>Weighting</t>
        </is>
      </c>
      <c r="E26" s="16" t="inlineStr">
        <is>
          <t>12.5% weight</t>
        </is>
      </c>
    </row>
    <row r="27">
      <c r="B27" s="15" t="inlineStr">
        <is>
          <t>2.3 Green Walls and Facades</t>
        </is>
      </c>
      <c r="C27" s="16" t="inlineStr">
        <is>
          <t>Does the development incorporate a green wall or green façade?</t>
        </is>
      </c>
      <c r="D27" s="16" t="inlineStr">
        <is>
          <t>Disabled Reason</t>
        </is>
      </c>
      <c r="E27" s="16" t="inlineStr">
        <is>
          <t>None</t>
        </is>
      </c>
    </row>
    <row r="28">
      <c r="B28" s="15" t="inlineStr">
        <is>
          <t>2.3 Green Walls and Facades</t>
        </is>
      </c>
      <c r="C28" s="16" t="inlineStr">
        <is>
          <t>Does the development incorporate a green wall or green façade?</t>
        </is>
      </c>
      <c r="D28" s="16" t="inlineStr">
        <is>
          <t>Scoped Out Reason</t>
        </is>
      </c>
      <c r="E28" s="16" t="inlineStr">
        <is>
          <t>No reason provided. This credit is not scoped out until a reason is provided.</t>
        </is>
      </c>
    </row>
    <row r="29">
      <c r="B29" s="15" t="inlineStr">
        <is>
          <t>2.3 Green Walls and Facades</t>
        </is>
      </c>
      <c r="C29" s="16" t="inlineStr">
        <is>
          <t>Does the development incorporate a green wall or green façade?</t>
        </is>
      </c>
      <c r="D29" s="16" t="inlineStr">
        <is>
          <t>Supporting Evidence</t>
        </is>
      </c>
      <c r="E29" s="16" t="inlineStr">
        <is>
          <t>Required</t>
        </is>
      </c>
    </row>
    <row r="30">
      <c r="B30" s="15" t="inlineStr">
        <is>
          <t>3.2 Food Production - Non-Residential</t>
        </is>
      </c>
      <c r="C30" s="16" t="inlineStr">
        <is>
          <t>What area of space per occupant is dedicated to food production?</t>
        </is>
      </c>
      <c r="D30" s="16" t="inlineStr">
        <is>
          <t>Score</t>
        </is>
      </c>
      <c r="E30" s="16" t="inlineStr">
        <is>
          <t>0%</t>
        </is>
      </c>
    </row>
    <row r="31">
      <c r="B31" s="15" t="inlineStr">
        <is>
          <t>3.2 Food Production - Non-Residential</t>
        </is>
      </c>
      <c r="C31" s="16" t="inlineStr">
        <is>
          <t>What area of space per occupant is dedicated to food production?</t>
        </is>
      </c>
      <c r="D31" s="16" t="inlineStr">
        <is>
          <t>Weighting</t>
        </is>
      </c>
      <c r="E31" s="16" t="inlineStr">
        <is>
          <t>12.5% weight</t>
        </is>
      </c>
    </row>
    <row r="32">
      <c r="B32" s="15" t="inlineStr">
        <is>
          <t>3.2 Food Production - Non-Residential</t>
        </is>
      </c>
      <c r="C32" s="16" t="inlineStr">
        <is>
          <t>What area of space per occupant is dedicated to food production?</t>
        </is>
      </c>
      <c r="D32" s="16" t="inlineStr">
        <is>
          <t>Disabled Reason</t>
        </is>
      </c>
      <c r="E32" s="16" t="inlineStr">
        <is>
          <t>None</t>
        </is>
      </c>
    </row>
    <row r="33">
      <c r="B33" s="15" t="inlineStr">
        <is>
          <t>3.2 Food Production - Non-Residential</t>
        </is>
      </c>
      <c r="C33" s="16" t="inlineStr">
        <is>
          <t>What area of space per occupant is dedicated to food production?</t>
        </is>
      </c>
      <c r="D33" s="16" t="inlineStr">
        <is>
          <t>Scoped Out Reason</t>
        </is>
      </c>
      <c r="E33" s="16" t="inlineStr">
        <is>
          <t>No reason provided. This credit is not scoped out until a reason is provided.</t>
        </is>
      </c>
    </row>
    <row r="34">
      <c r="B34" s="17" t="inlineStr">
        <is>
          <t>3.2 Food Production - Non-Residential</t>
        </is>
      </c>
      <c r="C34" s="18" t="inlineStr">
        <is>
          <t>What area of space per occupant is dedicated to food production?</t>
        </is>
      </c>
      <c r="D34" s="18" t="inlineStr">
        <is>
          <t>Supporting Evidence</t>
        </is>
      </c>
      <c r="E34" s="18" t="inlineStr">
        <is>
          <t>Required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E7"/>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Innovation</t>
        </is>
      </c>
      <c r="C3" s="16" t="inlineStr">
        <is>
          <t>What percentage of the Innovation points have been claimed (10 points maximum)?</t>
        </is>
      </c>
      <c r="D3" s="16" t="inlineStr">
        <is>
          <t>Score</t>
        </is>
      </c>
      <c r="E3" s="16" t="inlineStr">
        <is>
          <t>0%</t>
        </is>
      </c>
    </row>
    <row r="4">
      <c r="B4" s="15" t="inlineStr">
        <is>
          <t>1.1 Innovation</t>
        </is>
      </c>
      <c r="C4" s="16" t="inlineStr">
        <is>
          <t>What percentage of the Innovation points have been claimed (10 points maximum)?</t>
        </is>
      </c>
      <c r="D4" s="16" t="inlineStr">
        <is>
          <t>Weighting</t>
        </is>
      </c>
      <c r="E4" s="16" t="inlineStr">
        <is>
          <t>100% weight</t>
        </is>
      </c>
    </row>
    <row r="5">
      <c r="B5" s="15" t="inlineStr">
        <is>
          <t>1.1 Innovation</t>
        </is>
      </c>
      <c r="C5" s="16" t="inlineStr">
        <is>
          <t>What percentage of the Innovation points have been claimed (10 points maximum)?</t>
        </is>
      </c>
      <c r="D5" s="16" t="inlineStr">
        <is>
          <t>Disabled Reason</t>
        </is>
      </c>
      <c r="E5" s="16" t="inlineStr">
        <is>
          <t>None</t>
        </is>
      </c>
    </row>
    <row r="6">
      <c r="B6" s="15" t="inlineStr">
        <is>
          <t>1.1 Innovation</t>
        </is>
      </c>
      <c r="C6" s="16" t="inlineStr">
        <is>
          <t>What percentage of the Innovation points have been claimed (10 points maximum)?</t>
        </is>
      </c>
      <c r="D6" s="16" t="inlineStr">
        <is>
          <t>Scoped Out Reason</t>
        </is>
      </c>
      <c r="E6" s="16" t="inlineStr">
        <is>
          <t>No reason provided. This credit is not scoped out until a reason is provided.</t>
        </is>
      </c>
    </row>
    <row r="7">
      <c r="B7" s="17" t="inlineStr">
        <is>
          <t>1.1 Innovation</t>
        </is>
      </c>
      <c r="C7" s="18" t="inlineStr">
        <is>
          <t>What percentage of the Innovation points have been claimed (10 points maximum)?</t>
        </is>
      </c>
      <c r="D7" s="18" t="inlineStr">
        <is>
          <t>Supporting Evidence</t>
        </is>
      </c>
      <c r="E7" s="18" t="inlineStr">
        <is>
          <t>Required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2"/>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9" t="inlineStr">
        <is>
          <t>Profile Name</t>
        </is>
      </c>
      <c r="C2" s="19" t="inlineStr">
        <is>
          <t>Description</t>
        </is>
      </c>
      <c r="D2" s="19" t="inlineStr">
        <is>
          <t>Key</t>
        </is>
      </c>
      <c r="E2" s="19" t="inlineStr">
        <is>
          <t>Value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2025-11-26T12:20:18Z</dcterms:created>
  <dcterms:modified xmlns:dcterms="http://purl.org/dc/terms/" xmlns:xsi="http://www.w3.org/2001/XMLSchema-instance" xsi:type="dcterms:W3CDTF">2025-11-26T12:20:18Z</dcterms:modified>
</cp:coreProperties>
</file>